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https://d.docs.live.net/ce6cc31e9fc3cd5b/Desktop/"/>
    </mc:Choice>
  </mc:AlternateContent>
  <xr:revisionPtr revIDLastSave="0" documentId="8_{B5640B18-6BC7-4725-9032-A3D718BFF179}" xr6:coauthVersionLast="47" xr6:coauthVersionMax="47" xr10:uidLastSave="{00000000-0000-0000-0000-000000000000}"/>
  <bookViews>
    <workbookView xWindow="-120" yWindow="480" windowWidth="20730" windowHeight="10440" firstSheet="1" activeTab="4" xr2:uid="{765925B1-6DF8-4159-AC23-9B5A33C0859C}"/>
  </bookViews>
  <sheets>
    <sheet name="customers_data" sheetId="2" r:id="rId1"/>
    <sheet name="pivots_customers" sheetId="7" r:id="rId2"/>
    <sheet name="partners_data" sheetId="10" r:id="rId3"/>
    <sheet name="pivots_partners" sheetId="11" r:id="rId4"/>
    <sheet name="Menu" sheetId="3" r:id="rId5"/>
    <sheet name="Partners" sheetId="4" r:id="rId6"/>
    <sheet name="Products" sheetId="5" r:id="rId7"/>
    <sheet name="About" sheetId="6" r:id="rId8"/>
  </sheets>
  <definedNames>
    <definedName name="_xlchart.v1.0" hidden="1">customers_data!$P$2:$P$21</definedName>
    <definedName name="_xlchart.v1.1" hidden="1">customers_data!$Q$2:$Q$21</definedName>
    <definedName name="ExternalData_1" localSheetId="0" hidden="1">customers_data!$A$1:$H$1401</definedName>
    <definedName name="ExternalData_1" localSheetId="2" hidden="1">partners_data!$A$1:$K$281</definedName>
    <definedName name="Slicer_gender">#N/A</definedName>
    <definedName name="Slicer_region">#N/A</definedName>
    <definedName name="Slicer_region1">#N/A</definedName>
    <definedName name="Slicer_status">#N/A</definedName>
  </definedNames>
  <calcPr calcId="181029"/>
  <pivotCaches>
    <pivotCache cacheId="0" r:id="rId9"/>
    <pivotCache cacheId="1" r:id="rId10"/>
    <pivotCache cacheId="2" r:id="rId11"/>
    <pivotCache cacheId="3" r:id="rId12"/>
    <pivotCache cacheId="7"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8" i="11" l="1"/>
  <c r="P28" i="11"/>
  <c r="Q2" i="2"/>
  <c r="L31" i="2"/>
  <c r="K31" i="2"/>
  <c r="Q3" i="2"/>
  <c r="Q4" i="2"/>
  <c r="Q5" i="2"/>
  <c r="Q6" i="2"/>
  <c r="Q7" i="2"/>
  <c r="Q8" i="2"/>
  <c r="Q9" i="2"/>
  <c r="Q10" i="2"/>
  <c r="Q11" i="2"/>
  <c r="Q12" i="2"/>
  <c r="Q13" i="2"/>
  <c r="Q14" i="2"/>
  <c r="Q15" i="2"/>
  <c r="Q16" i="2"/>
  <c r="Q17" i="2"/>
  <c r="Q18" i="2"/>
  <c r="Q19" i="2"/>
  <c r="Q20" i="2"/>
  <c r="Q21" i="2"/>
  <c r="K11" i="2"/>
  <c r="K10" i="2"/>
  <c r="K16" i="2"/>
  <c r="K14" i="2"/>
  <c r="K15" i="2"/>
  <c r="K17" i="2"/>
  <c r="K13" i="2"/>
  <c r="K12" i="2"/>
  <c r="L6" i="2"/>
  <c r="N6" i="2" s="1"/>
  <c r="L5" i="2"/>
  <c r="N5" i="2" s="1"/>
  <c r="L4" i="2"/>
  <c r="N4" i="2" s="1"/>
  <c r="K8" i="2"/>
  <c r="L2" i="2"/>
  <c r="D4" i="11"/>
  <c r="L11" i="2" l="1"/>
  <c r="K21" i="2" s="1"/>
  <c r="L14" i="2"/>
  <c r="K24" i="2" s="1"/>
  <c r="L12" i="2"/>
  <c r="K22" i="2" s="1"/>
  <c r="L13" i="2"/>
  <c r="K23" i="2" s="1"/>
  <c r="L17" i="2"/>
  <c r="K27" i="2" s="1"/>
  <c r="L15" i="2"/>
  <c r="K25" i="2" s="1"/>
  <c r="L16" i="2"/>
  <c r="K26" i="2" s="1"/>
  <c r="K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0097F1-DF50-495C-BFB8-AF565231ABA4}" keepAlive="1" interval="1" name="Query - customers" description="Connection to the 'customers' query in the workbook." type="5" refreshedVersion="8" background="1" refreshOnLoad="1" saveData="1">
    <dbPr connection="Provider=Microsoft.Mashup.OleDb.1;Data Source=$Workbook$;Location=customers;Extended Properties=&quot;&quot;" command="SELECT * FROM [customers]"/>
  </connection>
  <connection id="2" xr16:uid="{47704C68-678A-4F41-AA24-3BA05607AD35}" keepAlive="1" interval="1" name="Query - customers (2)" description="Connection to the 'customers (2)' query in the workbook." type="5" refreshedVersion="8" background="1" refreshOnLoad="1" saveData="1">
    <dbPr connection="Provider=Microsoft.Mashup.OleDb.1;Data Source=$Workbook$;Location=&quot;customers (2)&quot;;Extended Properties=&quot;&quot;" command="SELECT * FROM [customers (2)]"/>
  </connection>
  <connection id="3" xr16:uid="{99844BE1-38CF-4893-BD4F-E0E07679B80D}" keepAlive="1" interval="1" name="Query - customers (3)" description="Connection to the 'customers (3)' query in the workbook." type="5" refreshedVersion="8" background="1" saveData="1">
    <dbPr connection="Provider=Microsoft.Mashup.OleDb.1;Data Source=$Workbook$;Location=&quot;customers (3)&quot;;Extended Properties=&quot;&quot;" command="SELECT * FROM [customers (3)]"/>
  </connection>
  <connection id="4" xr16:uid="{0EDE5291-5368-4DD0-B103-EA7FEB9E4B25}" keepAlive="1" interval="1" name="Query - partners" description="Connection to the 'partners' query in the workbook." type="5" refreshedVersion="8" background="1" saveData="1">
    <dbPr connection="Provider=Microsoft.Mashup.OleDb.1;Data Source=$Workbook$;Location=partners;Extended Properties=&quot;&quot;" command="SELECT * FROM [partners]"/>
  </connection>
  <connection id="5" xr16:uid="{95C04D63-D26A-4E9D-B2F1-4038D2D9E48D}" keepAlive="1" interval="1" name="Query - partners (2)" description="Connection to the 'partners (2)' query in the workbook." type="5" refreshedVersion="8" background="1" saveData="1">
    <dbPr connection="Provider=Microsoft.Mashup.OleDb.1;Data Source=$Workbook$;Location=&quot;partners (2)&quot;;Extended Properties=&quot;&quot;" command="SELECT * FROM [partners (2)]"/>
  </connection>
  <connection id="6" xr16:uid="{ADBD4B15-B3C1-496B-86DE-7A567CC14D81}" keepAlive="1" interval="1" name="Query - partners (3)" description="Connection to the 'partners (3)' query in the workbook." type="5" refreshedVersion="8" background="1" saveData="1">
    <dbPr connection="Provider=Microsoft.Mashup.OleDb.1;Data Source=$Workbook$;Location=&quot;partners (3)&quot;;Extended Properties=&quot;&quot;" command="SELECT * FROM [partners (3)]"/>
  </connection>
  <connection id="7" xr16:uid="{671D134F-9322-43A7-9763-DAF39B8AF9CA}" keepAlive="1" interval="1" name="Query - partners (4)" description="Connection to the 'partners (4)' query in the workbook." type="5" refreshedVersion="8" background="1" saveData="1">
    <dbPr connection="Provider=Microsoft.Mashup.OleDb.1;Data Source=$Workbook$;Location=&quot;partners (4)&quot;;Extended Properties=&quot;&quot;" command="SELECT * FROM [partners (4)]"/>
  </connection>
</connections>
</file>

<file path=xl/sharedStrings.xml><?xml version="1.0" encoding="utf-8"?>
<sst xmlns="http://schemas.openxmlformats.org/spreadsheetml/2006/main" count="8290" uniqueCount="1049">
  <si>
    <t>id</t>
  </si>
  <si>
    <t>first_name</t>
  </si>
  <si>
    <t>last_name</t>
  </si>
  <si>
    <t>age</t>
  </si>
  <si>
    <t>gender</t>
  </si>
  <si>
    <t>region</t>
  </si>
  <si>
    <t>country</t>
  </si>
  <si>
    <t>created_at</t>
  </si>
  <si>
    <t>Donald</t>
  </si>
  <si>
    <t>Alvarez</t>
  </si>
  <si>
    <t>Male</t>
  </si>
  <si>
    <t>Europe</t>
  </si>
  <si>
    <t>Turkey</t>
  </si>
  <si>
    <t>Jennifer</t>
  </si>
  <si>
    <t>Edwards</t>
  </si>
  <si>
    <t>North America</t>
  </si>
  <si>
    <t>Japan</t>
  </si>
  <si>
    <t>Jeffrey</t>
  </si>
  <si>
    <t>Evans</t>
  </si>
  <si>
    <t>Other</t>
  </si>
  <si>
    <t>South America</t>
  </si>
  <si>
    <t>Denise</t>
  </si>
  <si>
    <t>Hall</t>
  </si>
  <si>
    <t>South Korea</t>
  </si>
  <si>
    <t>Jacqueline</t>
  </si>
  <si>
    <t>Woods</t>
  </si>
  <si>
    <t>Female</t>
  </si>
  <si>
    <t>Beth</t>
  </si>
  <si>
    <t>Zuniga</t>
  </si>
  <si>
    <t>Africa</t>
  </si>
  <si>
    <t>Netherlands</t>
  </si>
  <si>
    <t>Deanna</t>
  </si>
  <si>
    <t>Castillo</t>
  </si>
  <si>
    <t>Asia</t>
  </si>
  <si>
    <t>Teresa</t>
  </si>
  <si>
    <t>Collins</t>
  </si>
  <si>
    <t>South Africa</t>
  </si>
  <si>
    <t>Daisy</t>
  </si>
  <si>
    <t>Hunt</t>
  </si>
  <si>
    <t>Italy</t>
  </si>
  <si>
    <t>Todd</t>
  </si>
  <si>
    <t>Reyes</t>
  </si>
  <si>
    <t>Brazil</t>
  </si>
  <si>
    <t>Mark</t>
  </si>
  <si>
    <t>Aguilar</t>
  </si>
  <si>
    <t>Middle East</t>
  </si>
  <si>
    <t>Canada</t>
  </si>
  <si>
    <t>Lori</t>
  </si>
  <si>
    <t>Bishop</t>
  </si>
  <si>
    <t>Marc</t>
  </si>
  <si>
    <t>Townsend</t>
  </si>
  <si>
    <t>Spain</t>
  </si>
  <si>
    <t>Kenneth</t>
  </si>
  <si>
    <t>Peters</t>
  </si>
  <si>
    <t>Mexico</t>
  </si>
  <si>
    <t>Ronald</t>
  </si>
  <si>
    <t>Ortega</t>
  </si>
  <si>
    <t>Germany</t>
  </si>
  <si>
    <t>William</t>
  </si>
  <si>
    <t>George</t>
  </si>
  <si>
    <t>Snyder</t>
  </si>
  <si>
    <t>Kim</t>
  </si>
  <si>
    <t>James</t>
  </si>
  <si>
    <t>Frank</t>
  </si>
  <si>
    <t>Salazar</t>
  </si>
  <si>
    <t>China</t>
  </si>
  <si>
    <t>Susan</t>
  </si>
  <si>
    <t>Day</t>
  </si>
  <si>
    <t>India</t>
  </si>
  <si>
    <t>Tiffany</t>
  </si>
  <si>
    <t>Saudi Arabia</t>
  </si>
  <si>
    <t>Jose</t>
  </si>
  <si>
    <t>Duarte</t>
  </si>
  <si>
    <t>Oceania</t>
  </si>
  <si>
    <t>Anthony</t>
  </si>
  <si>
    <t>Lee</t>
  </si>
  <si>
    <t>United Kingdom</t>
  </si>
  <si>
    <t>Moore</t>
  </si>
  <si>
    <t>Michael</t>
  </si>
  <si>
    <t>Fuller</t>
  </si>
  <si>
    <t>France</t>
  </si>
  <si>
    <t>Jason</t>
  </si>
  <si>
    <t>Davis</t>
  </si>
  <si>
    <t>Dillon</t>
  </si>
  <si>
    <t>Christopher</t>
  </si>
  <si>
    <t>Dodson</t>
  </si>
  <si>
    <t>Matthew</t>
  </si>
  <si>
    <t>Clark</t>
  </si>
  <si>
    <t>Timothy</t>
  </si>
  <si>
    <t>Moreno</t>
  </si>
  <si>
    <t>Gabriel</t>
  </si>
  <si>
    <t>Harris</t>
  </si>
  <si>
    <t>Joshua</t>
  </si>
  <si>
    <t>Patricia</t>
  </si>
  <si>
    <t>Gonzalez</t>
  </si>
  <si>
    <t>Olivia</t>
  </si>
  <si>
    <t>Spencer</t>
  </si>
  <si>
    <t>Robert</t>
  </si>
  <si>
    <t>Rogers</t>
  </si>
  <si>
    <t>Sweden</t>
  </si>
  <si>
    <t>Ashley</t>
  </si>
  <si>
    <t>Hancock</t>
  </si>
  <si>
    <t>Hayley</t>
  </si>
  <si>
    <t>Chambers</t>
  </si>
  <si>
    <t>David</t>
  </si>
  <si>
    <t>Wilkerson</t>
  </si>
  <si>
    <t>Amber</t>
  </si>
  <si>
    <t>Arnold</t>
  </si>
  <si>
    <t>Natalie</t>
  </si>
  <si>
    <t>Ward</t>
  </si>
  <si>
    <t>Maria</t>
  </si>
  <si>
    <t>Orr</t>
  </si>
  <si>
    <t>Karen</t>
  </si>
  <si>
    <t>Miller</t>
  </si>
  <si>
    <t>Argentina</t>
  </si>
  <si>
    <t>Dawn</t>
  </si>
  <si>
    <t>Bird</t>
  </si>
  <si>
    <t>Brian</t>
  </si>
  <si>
    <t>Mills</t>
  </si>
  <si>
    <t>Mary</t>
  </si>
  <si>
    <t>Russo</t>
  </si>
  <si>
    <t>Cherry</t>
  </si>
  <si>
    <t>Kelly</t>
  </si>
  <si>
    <t>Dixon</t>
  </si>
  <si>
    <t>Walls</t>
  </si>
  <si>
    <t>Patrick</t>
  </si>
  <si>
    <t>Gomez</t>
  </si>
  <si>
    <t>Elizabeth</t>
  </si>
  <si>
    <t>Martinez</t>
  </si>
  <si>
    <t>Cook</t>
  </si>
  <si>
    <t>United States</t>
  </si>
  <si>
    <t>Charles</t>
  </si>
  <si>
    <t>Lewis</t>
  </si>
  <si>
    <t>Australia</t>
  </si>
  <si>
    <t>Amy</t>
  </si>
  <si>
    <t>Smith</t>
  </si>
  <si>
    <t>Yoder</t>
  </si>
  <si>
    <t>Riley</t>
  </si>
  <si>
    <t>Deborah</t>
  </si>
  <si>
    <t>Johnson</t>
  </si>
  <si>
    <t>Julie</t>
  </si>
  <si>
    <t>Key</t>
  </si>
  <si>
    <t>Laura</t>
  </si>
  <si>
    <t>Friedman</t>
  </si>
  <si>
    <t>Brandon</t>
  </si>
  <si>
    <t>Murphy</t>
  </si>
  <si>
    <t>Marissa</t>
  </si>
  <si>
    <t>Huynh</t>
  </si>
  <si>
    <t>Baker</t>
  </si>
  <si>
    <t>Travis</t>
  </si>
  <si>
    <t>Powell</t>
  </si>
  <si>
    <t>Daniel</t>
  </si>
  <si>
    <t>Trevino</t>
  </si>
  <si>
    <t>Tabitha</t>
  </si>
  <si>
    <t>Cantu</t>
  </si>
  <si>
    <t>Erik</t>
  </si>
  <si>
    <t>Graves</t>
  </si>
  <si>
    <t>Morgan</t>
  </si>
  <si>
    <t>Brent</t>
  </si>
  <si>
    <t>Frye</t>
  </si>
  <si>
    <t>Ryan</t>
  </si>
  <si>
    <t>Morrison</t>
  </si>
  <si>
    <t>Misty</t>
  </si>
  <si>
    <t>Weber</t>
  </si>
  <si>
    <t>Juan</t>
  </si>
  <si>
    <t>Cross</t>
  </si>
  <si>
    <t>Gloria</t>
  </si>
  <si>
    <t>Lawrence</t>
  </si>
  <si>
    <t>Zachary</t>
  </si>
  <si>
    <t>Vincent</t>
  </si>
  <si>
    <t>Knox</t>
  </si>
  <si>
    <t>Haley</t>
  </si>
  <si>
    <t>Jones</t>
  </si>
  <si>
    <t>Sally</t>
  </si>
  <si>
    <t>Scott</t>
  </si>
  <si>
    <t>Adam</t>
  </si>
  <si>
    <t>Lopez</t>
  </si>
  <si>
    <t>Nguyen</t>
  </si>
  <si>
    <t>Veronica</t>
  </si>
  <si>
    <t>Hardin</t>
  </si>
  <si>
    <t>Jessica</t>
  </si>
  <si>
    <t>Oneal</t>
  </si>
  <si>
    <t>Crystal</t>
  </si>
  <si>
    <t>Rice</t>
  </si>
  <si>
    <t>Jared</t>
  </si>
  <si>
    <t>Caldwell</t>
  </si>
  <si>
    <t>Reed</t>
  </si>
  <si>
    <t>Vazquez</t>
  </si>
  <si>
    <t>Lindsay</t>
  </si>
  <si>
    <t>Benson</t>
  </si>
  <si>
    <t>Dana</t>
  </si>
  <si>
    <t>Tucker</t>
  </si>
  <si>
    <t>Lance</t>
  </si>
  <si>
    <t>Sims</t>
  </si>
  <si>
    <t>Thomas</t>
  </si>
  <si>
    <t>Russell</t>
  </si>
  <si>
    <t>Claire</t>
  </si>
  <si>
    <t>Reilly</t>
  </si>
  <si>
    <t>Robyn</t>
  </si>
  <si>
    <t>Kimberly</t>
  </si>
  <si>
    <t>Horne</t>
  </si>
  <si>
    <t>Tammy</t>
  </si>
  <si>
    <t>Moran</t>
  </si>
  <si>
    <t>Tammie</t>
  </si>
  <si>
    <t>Miranda</t>
  </si>
  <si>
    <t>Turner</t>
  </si>
  <si>
    <t>Lisa</t>
  </si>
  <si>
    <t>Nichols</t>
  </si>
  <si>
    <t>Leah</t>
  </si>
  <si>
    <t>Sampson</t>
  </si>
  <si>
    <t>Ricky</t>
  </si>
  <si>
    <t>Thompson</t>
  </si>
  <si>
    <t>Fernandez</t>
  </si>
  <si>
    <t>Antonio</t>
  </si>
  <si>
    <t>Barker</t>
  </si>
  <si>
    <t>Bonnie</t>
  </si>
  <si>
    <t>Harper</t>
  </si>
  <si>
    <t>Dominic</t>
  </si>
  <si>
    <t>Troy</t>
  </si>
  <si>
    <t>Molly</t>
  </si>
  <si>
    <t>Angela</t>
  </si>
  <si>
    <t>Desiree</t>
  </si>
  <si>
    <t>Martin</t>
  </si>
  <si>
    <t>Jamie</t>
  </si>
  <si>
    <t>Walker</t>
  </si>
  <si>
    <t>Harrell</t>
  </si>
  <si>
    <t>Jerry</t>
  </si>
  <si>
    <t>Keller</t>
  </si>
  <si>
    <t>Julian</t>
  </si>
  <si>
    <t>Brandt</t>
  </si>
  <si>
    <t>Sparks</t>
  </si>
  <si>
    <t>Melvin</t>
  </si>
  <si>
    <t>Megan</t>
  </si>
  <si>
    <t>Terry</t>
  </si>
  <si>
    <t>Caroline</t>
  </si>
  <si>
    <t>Vance</t>
  </si>
  <si>
    <t>Tracey</t>
  </si>
  <si>
    <t>Brown</t>
  </si>
  <si>
    <t>Stephen</t>
  </si>
  <si>
    <t>Bennett</t>
  </si>
  <si>
    <t>Lauren</t>
  </si>
  <si>
    <t>Parks</t>
  </si>
  <si>
    <t>Joel</t>
  </si>
  <si>
    <t>Patton</t>
  </si>
  <si>
    <t>Garcia</t>
  </si>
  <si>
    <t>Mullins</t>
  </si>
  <si>
    <t>Justin</t>
  </si>
  <si>
    <t>Murray</t>
  </si>
  <si>
    <t>Catherine</t>
  </si>
  <si>
    <t>Beverly</t>
  </si>
  <si>
    <t>Richard</t>
  </si>
  <si>
    <t>Dyer</t>
  </si>
  <si>
    <t>Samuel</t>
  </si>
  <si>
    <t>Lowe</t>
  </si>
  <si>
    <t>Jodi</t>
  </si>
  <si>
    <t>Lane</t>
  </si>
  <si>
    <t>Tyrone</t>
  </si>
  <si>
    <t>Young</t>
  </si>
  <si>
    <t>Steven</t>
  </si>
  <si>
    <t>Chang</t>
  </si>
  <si>
    <t>Donna</t>
  </si>
  <si>
    <t>Prince</t>
  </si>
  <si>
    <t>Joseph</t>
  </si>
  <si>
    <t>Livingston</t>
  </si>
  <si>
    <t>Mitchell</t>
  </si>
  <si>
    <t>Adams</t>
  </si>
  <si>
    <t>Orozco</t>
  </si>
  <si>
    <t>Sarah</t>
  </si>
  <si>
    <t>Rebecca</t>
  </si>
  <si>
    <t>Huff</t>
  </si>
  <si>
    <t>John</t>
  </si>
  <si>
    <t>Martha</t>
  </si>
  <si>
    <t>Holder</t>
  </si>
  <si>
    <t>Anderson</t>
  </si>
  <si>
    <t>Durham</t>
  </si>
  <si>
    <t>Stephens</t>
  </si>
  <si>
    <t>Victoria</t>
  </si>
  <si>
    <t>Saunders</t>
  </si>
  <si>
    <t>Carol</t>
  </si>
  <si>
    <t>Gilmore</t>
  </si>
  <si>
    <t>Kristy</t>
  </si>
  <si>
    <t>Sandoval</t>
  </si>
  <si>
    <t>Whitney</t>
  </si>
  <si>
    <t>Buckley</t>
  </si>
  <si>
    <t>Mcgee</t>
  </si>
  <si>
    <t>Carpenter</t>
  </si>
  <si>
    <t>Dean</t>
  </si>
  <si>
    <t>Ricardo</t>
  </si>
  <si>
    <t>Whitaker</t>
  </si>
  <si>
    <t>Cortez</t>
  </si>
  <si>
    <t>Kristi</t>
  </si>
  <si>
    <t>Vasquez</t>
  </si>
  <si>
    <t>Dakota</t>
  </si>
  <si>
    <t>Avery</t>
  </si>
  <si>
    <t>Douglas</t>
  </si>
  <si>
    <t>Rush</t>
  </si>
  <si>
    <t>Monica</t>
  </si>
  <si>
    <t>West</t>
  </si>
  <si>
    <t>Ellis</t>
  </si>
  <si>
    <t>Stewart</t>
  </si>
  <si>
    <t>Brittany</t>
  </si>
  <si>
    <t>Gibbs</t>
  </si>
  <si>
    <t>Kevin</t>
  </si>
  <si>
    <t>Preston</t>
  </si>
  <si>
    <t>Watson</t>
  </si>
  <si>
    <t>Nicole</t>
  </si>
  <si>
    <t>Robles</t>
  </si>
  <si>
    <t>Flores</t>
  </si>
  <si>
    <t>Hawkins</t>
  </si>
  <si>
    <t>Little</t>
  </si>
  <si>
    <t>Mann</t>
  </si>
  <si>
    <t>Hailey</t>
  </si>
  <si>
    <t>Randall</t>
  </si>
  <si>
    <t>Ray</t>
  </si>
  <si>
    <t>Dustin</t>
  </si>
  <si>
    <t>Raymond</t>
  </si>
  <si>
    <t>Rosales</t>
  </si>
  <si>
    <t>Guerra</t>
  </si>
  <si>
    <t>Christina</t>
  </si>
  <si>
    <t>Grant</t>
  </si>
  <si>
    <t>Raven</t>
  </si>
  <si>
    <t>Erica</t>
  </si>
  <si>
    <t>Camacho</t>
  </si>
  <si>
    <t>Savage</t>
  </si>
  <si>
    <t>Chen</t>
  </si>
  <si>
    <t>Andrew</t>
  </si>
  <si>
    <t>Deleon</t>
  </si>
  <si>
    <t>Tran</t>
  </si>
  <si>
    <t>Arellano</t>
  </si>
  <si>
    <t>Ramirez</t>
  </si>
  <si>
    <t>Phillips</t>
  </si>
  <si>
    <t>Patty</t>
  </si>
  <si>
    <t>Howard</t>
  </si>
  <si>
    <t>Farrell</t>
  </si>
  <si>
    <t>Taylor</t>
  </si>
  <si>
    <t>Wiley</t>
  </si>
  <si>
    <t>Row Labels</t>
  </si>
  <si>
    <t>Grand Total</t>
  </si>
  <si>
    <t>Count of gender</t>
  </si>
  <si>
    <t>Column Labels</t>
  </si>
  <si>
    <t>Calvin</t>
  </si>
  <si>
    <t>Tanya</t>
  </si>
  <si>
    <t>total registered:</t>
  </si>
  <si>
    <t>Reginald</t>
  </si>
  <si>
    <t>Holly</t>
  </si>
  <si>
    <t>Daniels</t>
  </si>
  <si>
    <t>Mathews</t>
  </si>
  <si>
    <t>Harmon</t>
  </si>
  <si>
    <t>Williams</t>
  </si>
  <si>
    <t>Linda</t>
  </si>
  <si>
    <t>Brett</t>
  </si>
  <si>
    <t>Harry</t>
  </si>
  <si>
    <t>Rodriguez</t>
  </si>
  <si>
    <t>Kendra</t>
  </si>
  <si>
    <t>Laurie</t>
  </si>
  <si>
    <t>Jorge</t>
  </si>
  <si>
    <t>Maldonado</t>
  </si>
  <si>
    <t>Rachel</t>
  </si>
  <si>
    <t>Wilkinson</t>
  </si>
  <si>
    <t>Kristin</t>
  </si>
  <si>
    <t>Parrish</t>
  </si>
  <si>
    <t>Jack</t>
  </si>
  <si>
    <t>Gregory</t>
  </si>
  <si>
    <t>Gray</t>
  </si>
  <si>
    <t>Stanley</t>
  </si>
  <si>
    <t>Larry</t>
  </si>
  <si>
    <t>Koch</t>
  </si>
  <si>
    <t>Jackson</t>
  </si>
  <si>
    <t>Stone</t>
  </si>
  <si>
    <t>Jesus</t>
  </si>
  <si>
    <t>Weiss</t>
  </si>
  <si>
    <t>Caitlin</t>
  </si>
  <si>
    <t>Schultz</t>
  </si>
  <si>
    <t>Chad</t>
  </si>
  <si>
    <t>Bonilla</t>
  </si>
  <si>
    <t>Ian</t>
  </si>
  <si>
    <t>Dunn</t>
  </si>
  <si>
    <t>Steve</t>
  </si>
  <si>
    <t>Emily</t>
  </si>
  <si>
    <t>Wright</t>
  </si>
  <si>
    <t>Rollins</t>
  </si>
  <si>
    <t>males:</t>
  </si>
  <si>
    <t>Edward</t>
  </si>
  <si>
    <t>Gillespie</t>
  </si>
  <si>
    <t>Chavez</t>
  </si>
  <si>
    <t xml:space="preserve">percentage: </t>
  </si>
  <si>
    <t>Alexandria</t>
  </si>
  <si>
    <t>females:</t>
  </si>
  <si>
    <t>Tracy</t>
  </si>
  <si>
    <t>Perry</t>
  </si>
  <si>
    <t>Nash</t>
  </si>
  <si>
    <t>Wagner</t>
  </si>
  <si>
    <t xml:space="preserve">other: </t>
  </si>
  <si>
    <t>Craig</t>
  </si>
  <si>
    <t>Francis</t>
  </si>
  <si>
    <t>Marvin</t>
  </si>
  <si>
    <t>Winters</t>
  </si>
  <si>
    <t>Tricia</t>
  </si>
  <si>
    <t>Jenkins</t>
  </si>
  <si>
    <t>Debbie</t>
  </si>
  <si>
    <t>French</t>
  </si>
  <si>
    <t>Kristen</t>
  </si>
  <si>
    <t>Peterson</t>
  </si>
  <si>
    <t>Fisher</t>
  </si>
  <si>
    <t>Kyle</t>
  </si>
  <si>
    <t>Ann</t>
  </si>
  <si>
    <t>Hicks</t>
  </si>
  <si>
    <t>Mcdaniel</t>
  </si>
  <si>
    <t>Yvonne</t>
  </si>
  <si>
    <t>Odonnell</t>
  </si>
  <si>
    <t>Mcmahon</t>
  </si>
  <si>
    <t>Shawn</t>
  </si>
  <si>
    <t>Cannon</t>
  </si>
  <si>
    <t>Perkins</t>
  </si>
  <si>
    <t>Heath</t>
  </si>
  <si>
    <t>Jeremy</t>
  </si>
  <si>
    <t>Beck</t>
  </si>
  <si>
    <t>Alan</t>
  </si>
  <si>
    <t>Alexander</t>
  </si>
  <si>
    <t>Hernandez</t>
  </si>
  <si>
    <t>Paul</t>
  </si>
  <si>
    <t>Wyatt</t>
  </si>
  <si>
    <t>Jill</t>
  </si>
  <si>
    <t>Mccann</t>
  </si>
  <si>
    <t>Cole</t>
  </si>
  <si>
    <t>Nathan</t>
  </si>
  <si>
    <t>Morales</t>
  </si>
  <si>
    <t>Bobby</t>
  </si>
  <si>
    <t>Wilson</t>
  </si>
  <si>
    <t>Shannon</t>
  </si>
  <si>
    <t>Coleman</t>
  </si>
  <si>
    <t>Hannah</t>
  </si>
  <si>
    <t>Dalton</t>
  </si>
  <si>
    <t>Alvarado</t>
  </si>
  <si>
    <t>Ramos</t>
  </si>
  <si>
    <t>Serrano</t>
  </si>
  <si>
    <t>Kirk</t>
  </si>
  <si>
    <t>Robin</t>
  </si>
  <si>
    <t>Barbara</t>
  </si>
  <si>
    <t>Sanders</t>
  </si>
  <si>
    <t>Wayne</t>
  </si>
  <si>
    <t>Pope</t>
  </si>
  <si>
    <t>Bridget</t>
  </si>
  <si>
    <t>Rebekah</t>
  </si>
  <si>
    <t>Cline</t>
  </si>
  <si>
    <t>Tyler</t>
  </si>
  <si>
    <t>Roberts</t>
  </si>
  <si>
    <t>Brooks</t>
  </si>
  <si>
    <t>Silva</t>
  </si>
  <si>
    <t>roduct</t>
  </si>
  <si>
    <t>roducts</t>
  </si>
  <si>
    <t>Castro</t>
  </si>
  <si>
    <t>Sanchez</t>
  </si>
  <si>
    <t>Welch</t>
  </si>
  <si>
    <t>Melton</t>
  </si>
  <si>
    <t>Reynolds</t>
  </si>
  <si>
    <t>Lindsey</t>
  </si>
  <si>
    <t>Brock</t>
  </si>
  <si>
    <t>Stacey</t>
  </si>
  <si>
    <t>Ali</t>
  </si>
  <si>
    <t>Hendrix</t>
  </si>
  <si>
    <t>Becky</t>
  </si>
  <si>
    <t>Caitlyn</t>
  </si>
  <si>
    <t>Brewer</t>
  </si>
  <si>
    <t>Elliott</t>
  </si>
  <si>
    <t>Benjamin</t>
  </si>
  <si>
    <t>Connie</t>
  </si>
  <si>
    <t>Fry</t>
  </si>
  <si>
    <t>Melissa</t>
  </si>
  <si>
    <t>Chapman</t>
  </si>
  <si>
    <t>Carter</t>
  </si>
  <si>
    <t>Richardson</t>
  </si>
  <si>
    <t>Jordan</t>
  </si>
  <si>
    <t>Baxter</t>
  </si>
  <si>
    <t>Tina</t>
  </si>
  <si>
    <t>Ford</t>
  </si>
  <si>
    <t>Dominguez</t>
  </si>
  <si>
    <t>Debra</t>
  </si>
  <si>
    <t>Myers</t>
  </si>
  <si>
    <t>Carla</t>
  </si>
  <si>
    <t>Ross</t>
  </si>
  <si>
    <t>Amanda</t>
  </si>
  <si>
    <t>Ewing</t>
  </si>
  <si>
    <t>Lamb</t>
  </si>
  <si>
    <t>Jonathan</t>
  </si>
  <si>
    <t>Lyons</t>
  </si>
  <si>
    <t>Olsen</t>
  </si>
  <si>
    <t>Robinson</t>
  </si>
  <si>
    <t>Heather</t>
  </si>
  <si>
    <t>Curtis</t>
  </si>
  <si>
    <t>Morrow</t>
  </si>
  <si>
    <t>Stephanie</t>
  </si>
  <si>
    <t>Guerrero</t>
  </si>
  <si>
    <t>Darrell</t>
  </si>
  <si>
    <t>Flynn</t>
  </si>
  <si>
    <t>Pearson</t>
  </si>
  <si>
    <t>Torres</t>
  </si>
  <si>
    <t>Hunter</t>
  </si>
  <si>
    <t>Griffith</t>
  </si>
  <si>
    <t>Norman</t>
  </si>
  <si>
    <t>Kelley</t>
  </si>
  <si>
    <t>Simmons</t>
  </si>
  <si>
    <t>Henderson</t>
  </si>
  <si>
    <t>Holt</t>
  </si>
  <si>
    <t>Cindy</t>
  </si>
  <si>
    <t>Villarreal</t>
  </si>
  <si>
    <t>Berry</t>
  </si>
  <si>
    <t>Samantha</t>
  </si>
  <si>
    <t>Case</t>
  </si>
  <si>
    <t>Cheryl</t>
  </si>
  <si>
    <t>Ochoa</t>
  </si>
  <si>
    <t>Tate</t>
  </si>
  <si>
    <t>Kaitlyn</t>
  </si>
  <si>
    <t>Luis</t>
  </si>
  <si>
    <t>Mcintosh</t>
  </si>
  <si>
    <t>Larson</t>
  </si>
  <si>
    <t>Rowland</t>
  </si>
  <si>
    <t>Campbell</t>
  </si>
  <si>
    <t>Williamson</t>
  </si>
  <si>
    <t>Frazier</t>
  </si>
  <si>
    <t>Courtney</t>
  </si>
  <si>
    <t>Wendy</t>
  </si>
  <si>
    <t>Jimmy</t>
  </si>
  <si>
    <t>Fox</t>
  </si>
  <si>
    <t>Roth</t>
  </si>
  <si>
    <t>Mercado</t>
  </si>
  <si>
    <t>Greene</t>
  </si>
  <si>
    <t>Henry</t>
  </si>
  <si>
    <t>Chris</t>
  </si>
  <si>
    <t>Holmes</t>
  </si>
  <si>
    <t>Cesar</t>
  </si>
  <si>
    <t>Randy</t>
  </si>
  <si>
    <t>Jeff</t>
  </si>
  <si>
    <t>Renee</t>
  </si>
  <si>
    <t>Mclean</t>
  </si>
  <si>
    <t>Romero</t>
  </si>
  <si>
    <t>Don't forget to enable refresh for both main data table and pivot tables</t>
  </si>
  <si>
    <t>mode age</t>
  </si>
  <si>
    <t>Phillip</t>
  </si>
  <si>
    <t>Owens</t>
  </si>
  <si>
    <t>Noble</t>
  </si>
  <si>
    <t>Rich</t>
  </si>
  <si>
    <t>Carr</t>
  </si>
  <si>
    <t>Derek</t>
  </si>
  <si>
    <t>Kaiser</t>
  </si>
  <si>
    <t>Maurice</t>
  </si>
  <si>
    <t>Gamble</t>
  </si>
  <si>
    <t>Albert</t>
  </si>
  <si>
    <t>Angelica</t>
  </si>
  <si>
    <t>Nicholas</t>
  </si>
  <si>
    <t>Mcdonald</t>
  </si>
  <si>
    <t>Bryan</t>
  </si>
  <si>
    <t>Hammond</t>
  </si>
  <si>
    <t>Diana</t>
  </si>
  <si>
    <t>Kristina</t>
  </si>
  <si>
    <t>Gardner</t>
  </si>
  <si>
    <t>Tommy</t>
  </si>
  <si>
    <t>Cruz</t>
  </si>
  <si>
    <t>Danielle</t>
  </si>
  <si>
    <t>Kathleen</t>
  </si>
  <si>
    <t>Sheila</t>
  </si>
  <si>
    <t>Conner</t>
  </si>
  <si>
    <t>Yvette</t>
  </si>
  <si>
    <t>Kari</t>
  </si>
  <si>
    <t>Jacobs</t>
  </si>
  <si>
    <t>Morris</t>
  </si>
  <si>
    <t>Skinner</t>
  </si>
  <si>
    <t>Franklin</t>
  </si>
  <si>
    <t>Janet</t>
  </si>
  <si>
    <t>Washington</t>
  </si>
  <si>
    <t>Blankenship</t>
  </si>
  <si>
    <t>Kathy</t>
  </si>
  <si>
    <t>Green</t>
  </si>
  <si>
    <t>Eric</t>
  </si>
  <si>
    <t>Parker</t>
  </si>
  <si>
    <t>Sean</t>
  </si>
  <si>
    <t>Rhonda</t>
  </si>
  <si>
    <t>Boyd</t>
  </si>
  <si>
    <t>Anna</t>
  </si>
  <si>
    <t>Marshall</t>
  </si>
  <si>
    <t>Cassandra</t>
  </si>
  <si>
    <t>Richards</t>
  </si>
  <si>
    <t>Jeffery</t>
  </si>
  <si>
    <t>Robertson</t>
  </si>
  <si>
    <t>Pham</t>
  </si>
  <si>
    <t>Shepherd</t>
  </si>
  <si>
    <t>Katherine</t>
  </si>
  <si>
    <t>Decker</t>
  </si>
  <si>
    <t>Cohen</t>
  </si>
  <si>
    <t>Dennis</t>
  </si>
  <si>
    <t>Bush</t>
  </si>
  <si>
    <t>Novak</t>
  </si>
  <si>
    <t>Jennings</t>
  </si>
  <si>
    <t>Roger</t>
  </si>
  <si>
    <t>Acevedo</t>
  </si>
  <si>
    <t>Santos</t>
  </si>
  <si>
    <t>Theresa</t>
  </si>
  <si>
    <t>Frederick</t>
  </si>
  <si>
    <t>Newman</t>
  </si>
  <si>
    <t>Brandi</t>
  </si>
  <si>
    <t>Maddox</t>
  </si>
  <si>
    <t>Sherry</t>
  </si>
  <si>
    <t>Diaz</t>
  </si>
  <si>
    <t>Neil</t>
  </si>
  <si>
    <t>Becker</t>
  </si>
  <si>
    <t>Evan</t>
  </si>
  <si>
    <t>Keith</t>
  </si>
  <si>
    <t>Zavala</t>
  </si>
  <si>
    <t>Rodgers</t>
  </si>
  <si>
    <t>Mays</t>
  </si>
  <si>
    <t>Louis</t>
  </si>
  <si>
    <t>Rivera</t>
  </si>
  <si>
    <t>Bailey</t>
  </si>
  <si>
    <t>Alfred</t>
  </si>
  <si>
    <t>Jody</t>
  </si>
  <si>
    <t>Ronnie</t>
  </si>
  <si>
    <t>Casey</t>
  </si>
  <si>
    <t>Greer</t>
  </si>
  <si>
    <t>Hill</t>
  </si>
  <si>
    <t>Simpson</t>
  </si>
  <si>
    <t>Nelson</t>
  </si>
  <si>
    <t>Carl</t>
  </si>
  <si>
    <t>Hull</t>
  </si>
  <si>
    <t>Armstrong</t>
  </si>
  <si>
    <t>Allen</t>
  </si>
  <si>
    <t>Luna</t>
  </si>
  <si>
    <t>Campos</t>
  </si>
  <si>
    <t>Hanson</t>
  </si>
  <si>
    <t>Browning</t>
  </si>
  <si>
    <t>Joanna</t>
  </si>
  <si>
    <t>Michelle</t>
  </si>
  <si>
    <t>Sharp</t>
  </si>
  <si>
    <t>Trevor</t>
  </si>
  <si>
    <t>Alyssa</t>
  </si>
  <si>
    <t>Lawson</t>
  </si>
  <si>
    <t>Pierce</t>
  </si>
  <si>
    <t>Corey</t>
  </si>
  <si>
    <t>Gary</t>
  </si>
  <si>
    <t>Ellison</t>
  </si>
  <si>
    <t>Mcdowell</t>
  </si>
  <si>
    <t>Oconnor</t>
  </si>
  <si>
    <t>Cynthia</t>
  </si>
  <si>
    <t>Herrera</t>
  </si>
  <si>
    <t>Jasmine</t>
  </si>
  <si>
    <t>Pennington</t>
  </si>
  <si>
    <t>Andrade</t>
  </si>
  <si>
    <t>Reeves</t>
  </si>
  <si>
    <t>Kent</t>
  </si>
  <si>
    <t>Dawson</t>
  </si>
  <si>
    <t>Kennedy</t>
  </si>
  <si>
    <t>Atkinson</t>
  </si>
  <si>
    <t>Fischer</t>
  </si>
  <si>
    <t>Cameron</t>
  </si>
  <si>
    <t>Mendez</t>
  </si>
  <si>
    <t>Barnett</t>
  </si>
  <si>
    <t>Bryant</t>
  </si>
  <si>
    <t>Cowan</t>
  </si>
  <si>
    <t>Jacob</t>
  </si>
  <si>
    <t>Giles</t>
  </si>
  <si>
    <t>Carolyn</t>
  </si>
  <si>
    <t>Johns</t>
  </si>
  <si>
    <t>Mccormick</t>
  </si>
  <si>
    <t>Christian</t>
  </si>
  <si>
    <t>Isaiah</t>
  </si>
  <si>
    <t>Small</t>
  </si>
  <si>
    <t>Burns</t>
  </si>
  <si>
    <t>Stacy</t>
  </si>
  <si>
    <t>Watkins</t>
  </si>
  <si>
    <t>Chung</t>
  </si>
  <si>
    <t>Madeline</t>
  </si>
  <si>
    <t>Crosby</t>
  </si>
  <si>
    <t>Kayla</t>
  </si>
  <si>
    <t>Sandra</t>
  </si>
  <si>
    <t>Paula</t>
  </si>
  <si>
    <t>Jesse</t>
  </si>
  <si>
    <t>Cody</t>
  </si>
  <si>
    <t>Carlson</t>
  </si>
  <si>
    <t>Logan</t>
  </si>
  <si>
    <t>Burke</t>
  </si>
  <si>
    <t>Christine</t>
  </si>
  <si>
    <t>Suzanne</t>
  </si>
  <si>
    <t>Goodman</t>
  </si>
  <si>
    <t>Gail</t>
  </si>
  <si>
    <t>Bolton</t>
  </si>
  <si>
    <t>Reid</t>
  </si>
  <si>
    <t>Webb</t>
  </si>
  <si>
    <t>Sherri</t>
  </si>
  <si>
    <t>Luke</t>
  </si>
  <si>
    <t>Contreras</t>
  </si>
  <si>
    <t>Alexandra</t>
  </si>
  <si>
    <t>Rhodes</t>
  </si>
  <si>
    <t>Mcconnell</t>
  </si>
  <si>
    <t>Destiny</t>
  </si>
  <si>
    <t>Joyce</t>
  </si>
  <si>
    <t>Walter</t>
  </si>
  <si>
    <t>Boone</t>
  </si>
  <si>
    <t>Kaufman</t>
  </si>
  <si>
    <t>Freeman</t>
  </si>
  <si>
    <t>Rubio</t>
  </si>
  <si>
    <t>Alexis</t>
  </si>
  <si>
    <t>Gordon</t>
  </si>
  <si>
    <t>Collin</t>
  </si>
  <si>
    <t>Norton</t>
  </si>
  <si>
    <t>Theodore</t>
  </si>
  <si>
    <t>Schmidt</t>
  </si>
  <si>
    <t>White</t>
  </si>
  <si>
    <t>Santiago</t>
  </si>
  <si>
    <t>Kerry</t>
  </si>
  <si>
    <t>Bowen</t>
  </si>
  <si>
    <t>Roach</t>
  </si>
  <si>
    <t>Andrea</t>
  </si>
  <si>
    <t>Clarke</t>
  </si>
  <si>
    <t>Roy</t>
  </si>
  <si>
    <t>Schneider</t>
  </si>
  <si>
    <t>Bartlett</t>
  </si>
  <si>
    <t>Garrett</t>
  </si>
  <si>
    <t>Combs</t>
  </si>
  <si>
    <t>Marcus</t>
  </si>
  <si>
    <t>Hale</t>
  </si>
  <si>
    <t>Kelsey</t>
  </si>
  <si>
    <t>Perez</t>
  </si>
  <si>
    <t>Nancy</t>
  </si>
  <si>
    <t>Mendoza</t>
  </si>
  <si>
    <t>Kristopher</t>
  </si>
  <si>
    <t>Jane</t>
  </si>
  <si>
    <t>Hess</t>
  </si>
  <si>
    <t>April</t>
  </si>
  <si>
    <t>Padilla</t>
  </si>
  <si>
    <t>Vargas</t>
  </si>
  <si>
    <t>Patterson</t>
  </si>
  <si>
    <t>Fields</t>
  </si>
  <si>
    <t>Ayers</t>
  </si>
  <si>
    <t>Bauer</t>
  </si>
  <si>
    <t>Kerr</t>
  </si>
  <si>
    <t>Judy</t>
  </si>
  <si>
    <t>Mackenzie</t>
  </si>
  <si>
    <t>Mckinney</t>
  </si>
  <si>
    <t>Burnett</t>
  </si>
  <si>
    <t>Bradford</t>
  </si>
  <si>
    <t>York</t>
  </si>
  <si>
    <t>Jim</t>
  </si>
  <si>
    <t>Lowery</t>
  </si>
  <si>
    <t>Hudson</t>
  </si>
  <si>
    <t>Cantrell</t>
  </si>
  <si>
    <t>Bethany</t>
  </si>
  <si>
    <t>Park</t>
  </si>
  <si>
    <t>Fuentes</t>
  </si>
  <si>
    <t>Frost</t>
  </si>
  <si>
    <t>Davies</t>
  </si>
  <si>
    <t>Bender</t>
  </si>
  <si>
    <t>Figueroa</t>
  </si>
  <si>
    <t>Adkins</t>
  </si>
  <si>
    <t>Andre</t>
  </si>
  <si>
    <t>Cobb</t>
  </si>
  <si>
    <t>Glenda</t>
  </si>
  <si>
    <t>Gilbert</t>
  </si>
  <si>
    <t>Warner</t>
  </si>
  <si>
    <t>Haas</t>
  </si>
  <si>
    <t>Acosta</t>
  </si>
  <si>
    <t>Erin</t>
  </si>
  <si>
    <t>Wade</t>
  </si>
  <si>
    <t>Waters</t>
  </si>
  <si>
    <t>Leslie</t>
  </si>
  <si>
    <t>Colton</t>
  </si>
  <si>
    <t>Sutton</t>
  </si>
  <si>
    <t>Katie</t>
  </si>
  <si>
    <t>Underwood</t>
  </si>
  <si>
    <t>Peggy</t>
  </si>
  <si>
    <t>Mcbride</t>
  </si>
  <si>
    <t>Mccarty</t>
  </si>
  <si>
    <t>Mccoy</t>
  </si>
  <si>
    <t>Barry</t>
  </si>
  <si>
    <t>Medina</t>
  </si>
  <si>
    <t>Sexton</t>
  </si>
  <si>
    <t>Marco</t>
  </si>
  <si>
    <t>Singh</t>
  </si>
  <si>
    <t>Sabrina</t>
  </si>
  <si>
    <t>Victor</t>
  </si>
  <si>
    <t>Michaela</t>
  </si>
  <si>
    <t>Brianna</t>
  </si>
  <si>
    <t>Huffman</t>
  </si>
  <si>
    <t>Traci</t>
  </si>
  <si>
    <t>Sharon</t>
  </si>
  <si>
    <t>Helen</t>
  </si>
  <si>
    <t>Valerie</t>
  </si>
  <si>
    <t>Costa</t>
  </si>
  <si>
    <t>Hahn</t>
  </si>
  <si>
    <t>Jade</t>
  </si>
  <si>
    <t>Porter</t>
  </si>
  <si>
    <t>Count of id</t>
  </si>
  <si>
    <t>Howell</t>
  </si>
  <si>
    <t>Frey</t>
  </si>
  <si>
    <t>Aaron</t>
  </si>
  <si>
    <t>Evelyn</t>
  </si>
  <si>
    <t>Tanner</t>
  </si>
  <si>
    <t>Leon</t>
  </si>
  <si>
    <t>Ramsey</t>
  </si>
  <si>
    <t>Ariel</t>
  </si>
  <si>
    <t>Kylie</t>
  </si>
  <si>
    <t>Gross</t>
  </si>
  <si>
    <t>Dylan</t>
  </si>
  <si>
    <t>Jeremiah</t>
  </si>
  <si>
    <t>Robbins</t>
  </si>
  <si>
    <t>Kathryn</t>
  </si>
  <si>
    <t>Benton</t>
  </si>
  <si>
    <t>Hoffman</t>
  </si>
  <si>
    <t>Mclaughlin</t>
  </si>
  <si>
    <t>Branch</t>
  </si>
  <si>
    <t>Melinda</t>
  </si>
  <si>
    <t>Ball</t>
  </si>
  <si>
    <t>Phyllis</t>
  </si>
  <si>
    <t>Crawford</t>
  </si>
  <si>
    <t>Seth</t>
  </si>
  <si>
    <t>Stuart</t>
  </si>
  <si>
    <t>Carrie</t>
  </si>
  <si>
    <t>Henson</t>
  </si>
  <si>
    <t>Mcmillan</t>
  </si>
  <si>
    <t>Krystal</t>
  </si>
  <si>
    <t>Shane</t>
  </si>
  <si>
    <t>Harrison</t>
  </si>
  <si>
    <t>Blair</t>
  </si>
  <si>
    <t>Ibarra</t>
  </si>
  <si>
    <t>Wesley</t>
  </si>
  <si>
    <t>Duke</t>
  </si>
  <si>
    <t>Darryl</t>
  </si>
  <si>
    <t>Shaffer</t>
  </si>
  <si>
    <t>Andrews</t>
  </si>
  <si>
    <t>Briana</t>
  </si>
  <si>
    <t>Reese</t>
  </si>
  <si>
    <t>Ivan</t>
  </si>
  <si>
    <t>Wells</t>
  </si>
  <si>
    <t>Rangel</t>
  </si>
  <si>
    <t>Cristina</t>
  </si>
  <si>
    <t>Hansen</t>
  </si>
  <si>
    <t>Wolfe</t>
  </si>
  <si>
    <t>Chelsea</t>
  </si>
  <si>
    <t>Joe</t>
  </si>
  <si>
    <t>Vanessa</t>
  </si>
  <si>
    <t>Olson</t>
  </si>
  <si>
    <t>Trujillo</t>
  </si>
  <si>
    <t>Breanna</t>
  </si>
  <si>
    <t>Strong</t>
  </si>
  <si>
    <t>Fritz</t>
  </si>
  <si>
    <t>partner_name</t>
  </si>
  <si>
    <t>shipments_count</t>
  </si>
  <si>
    <t>average_delivery_days</t>
  </si>
  <si>
    <t>cost_per_shipment</t>
  </si>
  <si>
    <t>status</t>
  </si>
  <si>
    <t>rating</t>
  </si>
  <si>
    <t>contract_start</t>
  </si>
  <si>
    <t>DHL Express</t>
  </si>
  <si>
    <t>Active</t>
  </si>
  <si>
    <t>FedEx</t>
  </si>
  <si>
    <t>Inactive</t>
  </si>
  <si>
    <t>UPS</t>
  </si>
  <si>
    <t>Aramex</t>
  </si>
  <si>
    <t>TNT Express</t>
  </si>
  <si>
    <t>Japan Post</t>
  </si>
  <si>
    <t>Australia Post</t>
  </si>
  <si>
    <t>Correios</t>
  </si>
  <si>
    <t>South African Post</t>
  </si>
  <si>
    <t>Canada Post</t>
  </si>
  <si>
    <t>Royal Mail</t>
  </si>
  <si>
    <t>China Post</t>
  </si>
  <si>
    <t>India Post</t>
  </si>
  <si>
    <t>Turkish Cargo</t>
  </si>
  <si>
    <t>MRW</t>
  </si>
  <si>
    <t>Chronopost</t>
  </si>
  <si>
    <t>Fastway</t>
  </si>
  <si>
    <t>Ireland</t>
  </si>
  <si>
    <t>Blue Dart</t>
  </si>
  <si>
    <t>Sendle</t>
  </si>
  <si>
    <t>Shiprocket</t>
  </si>
  <si>
    <t>Average of rating</t>
  </si>
  <si>
    <t>Sum of shipments_count</t>
  </si>
  <si>
    <t>Waller</t>
  </si>
  <si>
    <t>Brenda</t>
  </si>
  <si>
    <t>Cunningham</t>
  </si>
  <si>
    <t>Miguel</t>
  </si>
  <si>
    <t>Duffy</t>
  </si>
  <si>
    <t>Sara</t>
  </si>
  <si>
    <t>Nielsen</t>
  </si>
  <si>
    <t>Stafford</t>
  </si>
  <si>
    <t>Glass</t>
  </si>
  <si>
    <t>Hodges</t>
  </si>
  <si>
    <t>Adrienne</t>
  </si>
  <si>
    <t>Glover</t>
  </si>
  <si>
    <t>Lucas</t>
  </si>
  <si>
    <t>Mercer</t>
  </si>
  <si>
    <t>Rocha</t>
  </si>
  <si>
    <t>Doyle</t>
  </si>
  <si>
    <t>Isabella</t>
  </si>
  <si>
    <t>Hart</t>
  </si>
  <si>
    <t>Leonard</t>
  </si>
  <si>
    <t>Wilcox</t>
  </si>
  <si>
    <t>Vega</t>
  </si>
  <si>
    <t>Goodwin</t>
  </si>
  <si>
    <t>Horn</t>
  </si>
  <si>
    <t>Tara</t>
  </si>
  <si>
    <t>Sullivan</t>
  </si>
  <si>
    <t>Gibson</t>
  </si>
  <si>
    <t>Wood</t>
  </si>
  <si>
    <t>Juarez</t>
  </si>
  <si>
    <t>Palmer</t>
  </si>
  <si>
    <t>Ruth</t>
  </si>
  <si>
    <t>Willis</t>
  </si>
  <si>
    <t>Ruben</t>
  </si>
  <si>
    <t>Burton</t>
  </si>
  <si>
    <t>Diane</t>
  </si>
  <si>
    <t>Hutchinson</t>
  </si>
  <si>
    <t>Bass</t>
  </si>
  <si>
    <t>Lara</t>
  </si>
  <si>
    <t>Alicia</t>
  </si>
  <si>
    <t>Davidson</t>
  </si>
  <si>
    <t>Cummings</t>
  </si>
  <si>
    <t>total shipments</t>
  </si>
  <si>
    <t>Cooper</t>
  </si>
  <si>
    <t>Sloan</t>
  </si>
  <si>
    <t>Castaneda</t>
  </si>
  <si>
    <t>Everett</t>
  </si>
  <si>
    <t>Montoya</t>
  </si>
  <si>
    <t>Matthews</t>
  </si>
  <si>
    <t>Terri</t>
  </si>
  <si>
    <t>Warren</t>
  </si>
  <si>
    <t>Ruiz</t>
  </si>
  <si>
    <t>Erickson</t>
  </si>
  <si>
    <t>Cathy</t>
  </si>
  <si>
    <t>Melanie</t>
  </si>
  <si>
    <t>Hughes</t>
  </si>
  <si>
    <t>Summer</t>
  </si>
  <si>
    <t>Roberson</t>
  </si>
  <si>
    <t>Katrina</t>
  </si>
  <si>
    <t>Oliver</t>
  </si>
  <si>
    <t>Wilkins</t>
  </si>
  <si>
    <t>Pamela</t>
  </si>
  <si>
    <t>Allison</t>
  </si>
  <si>
    <t>Duncan</t>
  </si>
  <si>
    <t>Cox</t>
  </si>
  <si>
    <t>Griffin</t>
  </si>
  <si>
    <t>Valdez</t>
  </si>
  <si>
    <t>Holland</t>
  </si>
  <si>
    <t>Chloe</t>
  </si>
  <si>
    <t>Gonzales</t>
  </si>
  <si>
    <t>Ingram</t>
  </si>
  <si>
    <t>Anita</t>
  </si>
  <si>
    <t>Mckay</t>
  </si>
  <si>
    <t>Boyle</t>
  </si>
  <si>
    <t>Bradley</t>
  </si>
  <si>
    <t>Lambert</t>
  </si>
  <si>
    <t>Short</t>
  </si>
  <si>
    <t>Houston</t>
  </si>
  <si>
    <t>Bell</t>
  </si>
  <si>
    <t>Austin</t>
  </si>
  <si>
    <t>Stout</t>
  </si>
  <si>
    <t>Fred</t>
  </si>
  <si>
    <t>Burgess</t>
  </si>
  <si>
    <t>Jaime</t>
  </si>
  <si>
    <t>Landry</t>
  </si>
  <si>
    <t>Bowers</t>
  </si>
  <si>
    <t>Annette</t>
  </si>
  <si>
    <t>Norris</t>
  </si>
  <si>
    <t>Margaret</t>
  </si>
  <si>
    <t>Garza</t>
  </si>
  <si>
    <t>Billy</t>
  </si>
  <si>
    <t>Javier</t>
  </si>
  <si>
    <t>Tonya</t>
  </si>
  <si>
    <t>Hector</t>
  </si>
  <si>
    <t>Bruce</t>
  </si>
  <si>
    <t>Faith</t>
  </si>
  <si>
    <t>Mullen</t>
  </si>
  <si>
    <t>Tony</t>
  </si>
  <si>
    <t>Burch</t>
  </si>
  <si>
    <t>Michele</t>
  </si>
  <si>
    <t>Donaldson</t>
  </si>
  <si>
    <t>Yolanda</t>
  </si>
  <si>
    <t>Sherman</t>
  </si>
  <si>
    <t>Lin</t>
  </si>
  <si>
    <t>Leach</t>
  </si>
  <si>
    <t>Gerald</t>
  </si>
  <si>
    <t>Pratt</t>
  </si>
  <si>
    <t>Felicia</t>
  </si>
  <si>
    <t>Thornton</t>
  </si>
  <si>
    <t>Villanueva</t>
  </si>
  <si>
    <t>Mason</t>
  </si>
  <si>
    <t>Mike</t>
  </si>
  <si>
    <t>Chan</t>
  </si>
  <si>
    <t>Hartman</t>
  </si>
  <si>
    <t>Eileen</t>
  </si>
  <si>
    <t>Lynch</t>
  </si>
  <si>
    <t>Love</t>
  </si>
  <si>
    <t>Wang</t>
  </si>
  <si>
    <t>Stevens</t>
  </si>
  <si>
    <t>Johnston</t>
  </si>
  <si>
    <t>Wong</t>
  </si>
  <si>
    <t>Dorsey</t>
  </si>
  <si>
    <t>Munoz</t>
  </si>
  <si>
    <t>Marisa</t>
  </si>
  <si>
    <t>Eugene</t>
  </si>
  <si>
    <t>Sandy</t>
  </si>
  <si>
    <t>Rose</t>
  </si>
  <si>
    <t>Mathew</t>
  </si>
  <si>
    <t>Foster</t>
  </si>
  <si>
    <t>Marcia</t>
  </si>
  <si>
    <t>Blake</t>
  </si>
  <si>
    <t>Guzman</t>
  </si>
  <si>
    <t>King</t>
  </si>
  <si>
    <t>Massey</t>
  </si>
  <si>
    <t>Blackwell</t>
  </si>
  <si>
    <t>Price</t>
  </si>
  <si>
    <t>Norma</t>
  </si>
  <si>
    <t>Soto</t>
  </si>
  <si>
    <t>Booker</t>
  </si>
  <si>
    <t>Candace</t>
  </si>
  <si>
    <t>Carey</t>
  </si>
  <si>
    <t>Mandy</t>
  </si>
  <si>
    <t>Jo</t>
  </si>
  <si>
    <t>Noah</t>
  </si>
  <si>
    <t>Guy</t>
  </si>
  <si>
    <t>Judith</t>
  </si>
  <si>
    <t>Aimee</t>
  </si>
  <si>
    <t>Marsh</t>
  </si>
  <si>
    <t>Anne</t>
  </si>
  <si>
    <t>Nicholson</t>
  </si>
  <si>
    <t>Latasha</t>
  </si>
  <si>
    <t>highest rating</t>
  </si>
  <si>
    <t>company</t>
  </si>
  <si>
    <t>Davenport</t>
  </si>
  <si>
    <t>Jimenez</t>
  </si>
  <si>
    <t>Maxwell</t>
  </si>
  <si>
    <t>Carroll</t>
  </si>
  <si>
    <t>Carlos</t>
  </si>
  <si>
    <t>Strickland</t>
  </si>
  <si>
    <t>Rodney</t>
  </si>
  <si>
    <t>Vaughan</t>
  </si>
  <si>
    <t>Audrey</t>
  </si>
  <si>
    <t>Aguirre</t>
  </si>
  <si>
    <t>Mckenzie</t>
  </si>
  <si>
    <t>Malone</t>
  </si>
  <si>
    <t>Alex</t>
  </si>
  <si>
    <t>Harvey</t>
  </si>
  <si>
    <t>Gabrielle</t>
  </si>
  <si>
    <t>Kramer</t>
  </si>
  <si>
    <t>Sheri</t>
  </si>
  <si>
    <t>Pitts</t>
  </si>
  <si>
    <t>Oscar</t>
  </si>
  <si>
    <t>Bond</t>
  </si>
  <si>
    <t>Jasmin</t>
  </si>
  <si>
    <t>Hobbs</t>
  </si>
  <si>
    <t>Hampton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</si>
</sst>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F800]dddd\,\ mmmm\ dd\,\ yyyy"/>
    <numFmt numFmtId="165"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1">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10" xfId="0" applyBorder="1"/>
    <xf numFmtId="0" fontId="0" fillId="0" borderId="12" xfId="0" applyBorder="1"/>
    <xf numFmtId="0" fontId="0" fillId="0" borderId="11" xfId="0" applyBorder="1"/>
    <xf numFmtId="0" fontId="0" fillId="0" borderId="13" xfId="0" applyBorder="1"/>
    <xf numFmtId="0" fontId="0" fillId="0" borderId="14" xfId="0" applyBorder="1"/>
    <xf numFmtId="9" fontId="0" fillId="0" borderId="14" xfId="1" applyFont="1" applyBorder="1"/>
    <xf numFmtId="14" fontId="0" fillId="0" borderId="0" xfId="0" applyNumberFormat="1"/>
    <xf numFmtId="20" fontId="0" fillId="0" borderId="0" xfId="0" applyNumberFormat="1"/>
    <xf numFmtId="164"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9" fontId="0" fillId="0" borderId="11" xfId="1" applyFont="1" applyBorder="1"/>
    <xf numFmtId="0" fontId="0" fillId="0" borderId="24" xfId="0" applyBorder="1"/>
    <xf numFmtId="9" fontId="0" fillId="0" borderId="19" xfId="1" applyFont="1" applyBorder="1"/>
    <xf numFmtId="9" fontId="0" fillId="0" borderId="12" xfId="1" applyFont="1" applyBorder="1"/>
    <xf numFmtId="0" fontId="0" fillId="0" borderId="0" xfId="0" applyAlignment="1">
      <alignment horizontal="left" indent="1"/>
    </xf>
    <xf numFmtId="22" fontId="0" fillId="0" borderId="0" xfId="0" applyNumberFormat="1"/>
    <xf numFmtId="2" fontId="0" fillId="0" borderId="0" xfId="0" applyNumberFormat="1"/>
    <xf numFmtId="0" fontId="0" fillId="0" borderId="25" xfId="0" applyBorder="1"/>
    <xf numFmtId="2" fontId="0" fillId="0" borderId="0" xfId="0" applyNumberFormat="1" applyAlignment="1">
      <alignment horizontal="left"/>
    </xf>
    <xf numFmtId="165" fontId="0" fillId="0" borderId="21" xfId="43" applyNumberFormat="1" applyFont="1" applyBorder="1"/>
    <xf numFmtId="1" fontId="0" fillId="0" borderId="0" xfId="0" applyNumberFormat="1"/>
    <xf numFmtId="165" fontId="0" fillId="0" borderId="0" xfId="0" applyNumberFormat="1"/>
    <xf numFmtId="165" fontId="0" fillId="0" borderId="0" xfId="43" applyNumberFormat="1" applyFont="1"/>
    <xf numFmtId="0" fontId="0" fillId="34" borderId="15" xfId="0" applyFill="1" applyBorder="1"/>
    <xf numFmtId="0" fontId="0" fillId="34" borderId="16" xfId="0" applyFill="1" applyBorder="1"/>
    <xf numFmtId="14" fontId="0" fillId="34" borderId="13" xfId="0" applyNumberFormat="1" applyFill="1" applyBorder="1"/>
    <xf numFmtId="0" fontId="0" fillId="34" borderId="12" xfId="0" applyFill="1" applyBorder="1"/>
    <xf numFmtId="0" fontId="14" fillId="0" borderId="0" xfId="0" applyFont="1"/>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
    <dxf>
      <numFmt numFmtId="19" formatCode="dd/mm/yyyy"/>
    </dxf>
    <dxf>
      <numFmt numFmtId="2" formatCode="0.00"/>
    </dxf>
    <dxf>
      <numFmt numFmtId="2" formatCode="0.00"/>
    </dxf>
    <dxf>
      <numFmt numFmtId="2" formatCode="0.00"/>
    </dxf>
    <dxf>
      <numFmt numFmtId="165" formatCode="_-* #,##0_-;\-* #,##0_-;_-* &quot;-&quot;??_-;_-@_-"/>
    </dxf>
    <dxf>
      <numFmt numFmtId="165" formatCode="_-* #,##0_-;\-* #,##0_-;_-* &quot;-&quot;??_-;_-@_-"/>
    </dxf>
    <dxf>
      <numFmt numFmtId="35" formatCode="_-* #,##0.00_-;\-* #,##0.00_-;_-* &quot;-&quot;??_-;_-@_-"/>
    </dxf>
    <dxf>
      <numFmt numFmtId="2" formatCode="0.00"/>
    </dxf>
    <dxf>
      <numFmt numFmtId="165" formatCode="_-* #,##0_-;\-* #,##0_-;_-* &quot;-&quot;??_-;_-@_-"/>
    </dxf>
    <dxf>
      <numFmt numFmtId="1" formatCode="0"/>
    </dxf>
    <dxf>
      <numFmt numFmtId="27" formatCode="dd/mm/yyyy\ hh:mm"/>
    </dxf>
    <dxf>
      <numFmt numFmtId="19" formatCode="dd/mm/yyyy"/>
    </dxf>
    <dxf>
      <numFmt numFmtId="0" formatCode="General"/>
    </dxf>
    <dxf>
      <numFmt numFmtId="0" formatCode="General"/>
    </dxf>
    <dxf>
      <numFmt numFmtId="0" formatCode="General"/>
    </dxf>
    <dxf>
      <numFmt numFmtId="0" formatCode="General"/>
    </dxf>
    <dxf>
      <font>
        <color theme="1"/>
      </font>
      <fill>
        <patternFill>
          <bgColor theme="1"/>
        </patternFill>
      </fill>
    </dxf>
  </dxfs>
  <tableStyles count="1" defaultTableStyle="TableStyleMedium2" defaultPivotStyle="PivotStyleLight16">
    <tableStyle name="Slicer Style 1" pivot="0" table="0" count="5" xr9:uid="{E9E57E13-E1B6-485A-B2AE-43495E53114A}">
      <tableStyleElement type="wholeTable" dxfId="16"/>
    </tableStyle>
  </tableStyles>
  <extLst>
    <ext xmlns:x14="http://schemas.microsoft.com/office/spreadsheetml/2009/9/main" uri="{46F421CA-312F-682f-3DD2-61675219B42D}">
      <x14:dxfs count="4">
        <dxf>
          <font>
            <color theme="0"/>
          </font>
          <fill>
            <patternFill>
              <bgColor theme="1" tint="0.14996795556505021"/>
            </patternFill>
          </fill>
        </dxf>
        <dxf>
          <font>
            <color theme="2" tint="-0.499984740745262"/>
          </font>
          <fill>
            <patternFill>
              <bgColor theme="1"/>
            </patternFill>
          </fill>
        </dxf>
        <dxf>
          <font>
            <color theme="0"/>
          </font>
          <fill>
            <patternFill>
              <bgColor theme="1"/>
            </patternFill>
          </fill>
        </dxf>
        <dxf>
          <font>
            <color theme="2" tint="-0.499984740745262"/>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gradFill flip="none" rotWithShape="1">
            <a:gsLst>
              <a:gs pos="10000">
                <a:srgbClr val="002060"/>
              </a:gs>
              <a:gs pos="46000">
                <a:schemeClr val="tx1"/>
              </a:gs>
            </a:gsLst>
            <a:lin ang="18000000" scaled="0"/>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
                <a:srgbClr val="002060"/>
              </a:gs>
              <a:gs pos="72000">
                <a:schemeClr val="tx1"/>
              </a:gs>
            </a:gsLst>
            <a:lin ang="7200000" scaled="0"/>
            <a:tileRect/>
          </a:gradFill>
          <a:ln w="19050">
            <a:solidFill>
              <a:schemeClr val="lt1"/>
            </a:solidFill>
          </a:ln>
          <a:effectLst/>
        </c:spPr>
      </c:pivotFmt>
      <c:pivotFmt>
        <c:idx val="11"/>
        <c:spPr>
          <a:gradFill flip="none" rotWithShape="1">
            <a:gsLst>
              <a:gs pos="10000">
                <a:srgbClr val="002060"/>
              </a:gs>
              <a:gs pos="72000">
                <a:schemeClr val="tx1"/>
              </a:gs>
            </a:gsLst>
            <a:lin ang="9600000" scaled="0"/>
            <a:tileRect/>
          </a:gradFill>
          <a:ln w="19050">
            <a:solidFill>
              <a:schemeClr val="lt1"/>
            </a:solidFill>
          </a:ln>
          <a:effectLst/>
        </c:spPr>
      </c:pivotFmt>
      <c:pivotFmt>
        <c:idx val="12"/>
        <c:spPr>
          <a:gradFill flip="none" rotWithShape="1">
            <a:gsLst>
              <a:gs pos="10000">
                <a:srgbClr val="002060"/>
              </a:gs>
              <a:gs pos="72000">
                <a:schemeClr val="tx1"/>
              </a:gs>
            </a:gsLst>
            <a:lin ang="13200000" scaled="0"/>
            <a:tileRect/>
          </a:gradFill>
          <a:ln w="19050">
            <a:solidFill>
              <a:schemeClr val="lt1"/>
            </a:solidFill>
          </a:ln>
          <a:effectLst/>
        </c:spPr>
      </c:pivotFmt>
      <c:pivotFmt>
        <c:idx val="13"/>
        <c:spPr>
          <a:gradFill flip="none" rotWithShape="1">
            <a:gsLst>
              <a:gs pos="10000">
                <a:srgbClr val="002060"/>
              </a:gs>
              <a:gs pos="72000">
                <a:schemeClr val="tx1"/>
              </a:gs>
            </a:gsLst>
            <a:lin ang="15600000" scaled="0"/>
            <a:tileRect/>
          </a:gradFill>
          <a:ln w="19050">
            <a:solidFill>
              <a:schemeClr val="lt1"/>
            </a:solidFill>
          </a:ln>
          <a:effectLst/>
        </c:spPr>
      </c:pivotFmt>
      <c:pivotFmt>
        <c:idx val="14"/>
        <c:spPr>
          <a:gradFill flip="none" rotWithShape="1">
            <a:gsLst>
              <a:gs pos="10000">
                <a:srgbClr val="002060"/>
              </a:gs>
              <a:gs pos="72000">
                <a:schemeClr val="tx1"/>
              </a:gs>
            </a:gsLst>
            <a:lin ang="18600000" scaled="0"/>
            <a:tileRect/>
          </a:gradFill>
          <a:ln w="19050">
            <a:solidFill>
              <a:schemeClr val="lt1"/>
            </a:solidFill>
          </a:ln>
          <a:effectLst/>
        </c:spPr>
      </c:pivotFmt>
      <c:pivotFmt>
        <c:idx val="15"/>
        <c:spPr>
          <a:gradFill flip="none" rotWithShape="1">
            <a:gsLst>
              <a:gs pos="10000">
                <a:srgbClr val="002060"/>
              </a:gs>
              <a:gs pos="72000">
                <a:schemeClr val="tx1"/>
              </a:gs>
            </a:gsLst>
            <a:lin ang="600000" scaled="0"/>
            <a:tileRect/>
          </a:gradFill>
          <a:ln w="19050">
            <a:solidFill>
              <a:schemeClr val="lt1"/>
            </a:solidFill>
          </a:ln>
          <a:effectLst/>
        </c:spPr>
      </c:pivotFmt>
      <c:pivotFmt>
        <c:idx val="16"/>
        <c:spPr>
          <a:gradFill flip="none" rotWithShape="1">
            <a:gsLst>
              <a:gs pos="10000">
                <a:srgbClr val="002060"/>
              </a:gs>
              <a:gs pos="72000">
                <a:schemeClr val="tx1"/>
              </a:gs>
            </a:gsLst>
            <a:lin ang="3600000" scaled="0"/>
            <a:tileRect/>
          </a:gra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[projectmain.xlsx]pivots_customers!PivotTable1</c:name>
    <c:fmtId val="6"/>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2060"/>
              </a:gs>
              <a:gs pos="8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C00000"/>
              </a:gs>
              <a:gs pos="8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bg2"/>
              </a:gs>
              <a:gs pos="80000">
                <a:schemeClr val="tx1">
                  <a:lumMod val="9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s>
    <c:plotArea>
      <c:layout>
        <c:manualLayout>
          <c:layoutTarget val="inner"/>
          <c:xMode val="edge"/>
          <c:yMode val="edge"/>
          <c:x val="0.10864205979746072"/>
          <c:y val="4.0579689951104211E-2"/>
          <c:w val="0.78271588040507856"/>
          <c:h val="0.95942031004889583"/>
        </c:manualLayout>
      </c:layout>
      <c:barChart>
        <c:barDir val="col"/>
        <c:grouping val="clustered"/>
        <c:varyColors val="0"/>
        <c:ser>
          <c:idx val="0"/>
          <c:order val="0"/>
          <c:tx>
            <c:strRef>
              <c:f>pivots_customers!$E$3:$E$4</c:f>
              <c:strCache>
                <c:ptCount val="1"/>
                <c:pt idx="0">
                  <c:v>Female</c:v>
                </c:pt>
              </c:strCache>
            </c:strRef>
          </c:tx>
          <c:spPr>
            <a:gradFill flip="none" rotWithShape="1">
              <a:gsLst>
                <a:gs pos="0">
                  <a:srgbClr val="002060"/>
                </a:gs>
                <a:gs pos="80000">
                  <a:schemeClr val="tx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pivots_customers!$D$5:$D$6</c:f>
              <c:strCache>
                <c:ptCount val="1"/>
                <c:pt idx="0">
                  <c:v>Asia</c:v>
                </c:pt>
              </c:strCache>
            </c:strRef>
          </c:cat>
          <c:val>
            <c:numRef>
              <c:f>pivots_customers!$E$5:$E$6</c:f>
              <c:numCache>
                <c:formatCode>General</c:formatCode>
                <c:ptCount val="1"/>
                <c:pt idx="0">
                  <c:v>71</c:v>
                </c:pt>
              </c:numCache>
            </c:numRef>
          </c:val>
          <c:extLst>
            <c:ext xmlns:c16="http://schemas.microsoft.com/office/drawing/2014/chart" uri="{C3380CC4-5D6E-409C-BE32-E72D297353CC}">
              <c16:uniqueId val="{00000000-0F1E-4D00-A64F-83EF910DE779}"/>
            </c:ext>
          </c:extLst>
        </c:ser>
        <c:ser>
          <c:idx val="1"/>
          <c:order val="1"/>
          <c:tx>
            <c:strRef>
              <c:f>pivots_customers!$F$3:$F$4</c:f>
              <c:strCache>
                <c:ptCount val="1"/>
                <c:pt idx="0">
                  <c:v>Male</c:v>
                </c:pt>
              </c:strCache>
            </c:strRef>
          </c:tx>
          <c:spPr>
            <a:gradFill flip="none" rotWithShape="1">
              <a:gsLst>
                <a:gs pos="0">
                  <a:srgbClr val="C00000"/>
                </a:gs>
                <a:gs pos="80000">
                  <a:schemeClr val="tx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pivots_customers!$D$5:$D$6</c:f>
              <c:strCache>
                <c:ptCount val="1"/>
                <c:pt idx="0">
                  <c:v>Asia</c:v>
                </c:pt>
              </c:strCache>
            </c:strRef>
          </c:cat>
          <c:val>
            <c:numRef>
              <c:f>pivots_customers!$F$5:$F$6</c:f>
              <c:numCache>
                <c:formatCode>General</c:formatCode>
                <c:ptCount val="1"/>
                <c:pt idx="0">
                  <c:v>60</c:v>
                </c:pt>
              </c:numCache>
            </c:numRef>
          </c:val>
          <c:extLst>
            <c:ext xmlns:c16="http://schemas.microsoft.com/office/drawing/2014/chart" uri="{C3380CC4-5D6E-409C-BE32-E72D297353CC}">
              <c16:uniqueId val="{00000001-0F1E-4D00-A64F-83EF910DE779}"/>
            </c:ext>
          </c:extLst>
        </c:ser>
        <c:ser>
          <c:idx val="2"/>
          <c:order val="2"/>
          <c:tx>
            <c:strRef>
              <c:f>pivots_customers!$G$3:$G$4</c:f>
              <c:strCache>
                <c:ptCount val="1"/>
                <c:pt idx="0">
                  <c:v>Other</c:v>
                </c:pt>
              </c:strCache>
            </c:strRef>
          </c:tx>
          <c:spPr>
            <a:gradFill flip="none" rotWithShape="1">
              <a:gsLst>
                <a:gs pos="0">
                  <a:schemeClr val="bg2"/>
                </a:gs>
                <a:gs pos="80000">
                  <a:schemeClr val="tx1">
                    <a:lumMod val="94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pivots_customers!$D$5:$D$6</c:f>
              <c:strCache>
                <c:ptCount val="1"/>
                <c:pt idx="0">
                  <c:v>Asia</c:v>
                </c:pt>
              </c:strCache>
            </c:strRef>
          </c:cat>
          <c:val>
            <c:numRef>
              <c:f>pivots_customers!$G$5:$G$6</c:f>
              <c:numCache>
                <c:formatCode>General</c:formatCode>
                <c:ptCount val="1"/>
                <c:pt idx="0">
                  <c:v>64</c:v>
                </c:pt>
              </c:numCache>
            </c:numRef>
          </c:val>
          <c:extLst>
            <c:ext xmlns:c16="http://schemas.microsoft.com/office/drawing/2014/chart" uri="{C3380CC4-5D6E-409C-BE32-E72D297353CC}">
              <c16:uniqueId val="{00000002-0F1E-4D00-A64F-83EF910DE779}"/>
            </c:ext>
          </c:extLst>
        </c:ser>
        <c:dLbls>
          <c:dLblPos val="outEnd"/>
          <c:showLegendKey val="0"/>
          <c:showVal val="1"/>
          <c:showCatName val="0"/>
          <c:showSerName val="0"/>
          <c:showPercent val="0"/>
          <c:showBubbleSize val="0"/>
        </c:dLbls>
        <c:gapWidth val="355"/>
        <c:overlap val="-70"/>
        <c:axId val="1391928096"/>
        <c:axId val="1391924256"/>
      </c:barChart>
      <c:catAx>
        <c:axId val="1391928096"/>
        <c:scaling>
          <c:orientation val="minMax"/>
        </c:scaling>
        <c:delete val="1"/>
        <c:axPos val="b"/>
        <c:numFmt formatCode="General" sourceLinked="1"/>
        <c:majorTickMark val="none"/>
        <c:minorTickMark val="none"/>
        <c:tickLblPos val="nextTo"/>
        <c:crossAx val="1391924256"/>
        <c:crosses val="autoZero"/>
        <c:auto val="1"/>
        <c:lblAlgn val="ctr"/>
        <c:lblOffset val="100"/>
        <c:noMultiLvlLbl val="0"/>
      </c:catAx>
      <c:valAx>
        <c:axId val="1391924256"/>
        <c:scaling>
          <c:orientation val="minMax"/>
        </c:scaling>
        <c:delete val="1"/>
        <c:axPos val="l"/>
        <c:numFmt formatCode="General" sourceLinked="1"/>
        <c:majorTickMark val="none"/>
        <c:minorTickMark val="none"/>
        <c:tickLblPos val="nextTo"/>
        <c:crossAx val="139192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83000">
                    <a:schemeClr val="tx2">
                      <a:lumMod val="75000"/>
                    </a:schemeClr>
                  </a:gs>
                  <a:gs pos="100000">
                    <a:schemeClr val="accent1">
                      <a:lumMod val="30000"/>
                      <a:lumOff val="70000"/>
                    </a:schemeClr>
                  </a:gs>
                </a:gsLst>
                <a:lin ang="5400000" scaled="1"/>
              </a:gradFill>
            </a:ln>
          </c:spPr>
          <c:dPt>
            <c:idx val="0"/>
            <c:bubble3D val="0"/>
            <c:spPr>
              <a:gradFill rotWithShape="1">
                <a:gsLst>
                  <a:gs pos="0">
                    <a:srgbClr val="002060"/>
                  </a:gs>
                  <a:gs pos="69000">
                    <a:schemeClr val="tx1"/>
                  </a:gs>
                </a:gsLst>
                <a:lin ang="60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1-012C-497A-BE87-10953339FABA}"/>
              </c:ext>
            </c:extLst>
          </c:dPt>
          <c:dPt>
            <c:idx val="1"/>
            <c:bubble3D val="0"/>
            <c:spPr>
              <a:gradFill rotWithShape="1">
                <a:gsLst>
                  <a:gs pos="0">
                    <a:srgbClr val="002060"/>
                  </a:gs>
                  <a:gs pos="69000">
                    <a:schemeClr val="tx1"/>
                  </a:gs>
                </a:gsLst>
                <a:lin ang="96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3-012C-497A-BE87-10953339FABA}"/>
              </c:ext>
            </c:extLst>
          </c:dPt>
          <c:dPt>
            <c:idx val="2"/>
            <c:bubble3D val="0"/>
            <c:spPr>
              <a:gradFill rotWithShape="1">
                <a:gsLst>
                  <a:gs pos="0">
                    <a:srgbClr val="002060"/>
                  </a:gs>
                  <a:gs pos="69000">
                    <a:schemeClr val="tx1"/>
                  </a:gs>
                </a:gsLst>
                <a:lin ang="138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5-012C-497A-BE87-10953339FABA}"/>
              </c:ext>
            </c:extLst>
          </c:dPt>
          <c:dPt>
            <c:idx val="3"/>
            <c:bubble3D val="0"/>
            <c:spPr>
              <a:gradFill rotWithShape="1">
                <a:gsLst>
                  <a:gs pos="0">
                    <a:srgbClr val="002060"/>
                  </a:gs>
                  <a:gs pos="69000">
                    <a:schemeClr val="tx1"/>
                  </a:gs>
                </a:gsLst>
                <a:lin ang="168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7-012C-497A-BE87-10953339FABA}"/>
              </c:ext>
            </c:extLst>
          </c:dPt>
          <c:dPt>
            <c:idx val="4"/>
            <c:bubble3D val="0"/>
            <c:spPr>
              <a:gradFill rotWithShape="1">
                <a:gsLst>
                  <a:gs pos="0">
                    <a:srgbClr val="002060"/>
                  </a:gs>
                  <a:gs pos="69000">
                    <a:schemeClr val="tx1"/>
                  </a:gs>
                </a:gsLst>
                <a:lin ang="198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9-012C-497A-BE87-10953339FABA}"/>
              </c:ext>
            </c:extLst>
          </c:dPt>
          <c:dPt>
            <c:idx val="5"/>
            <c:bubble3D val="0"/>
            <c:spPr>
              <a:gradFill rotWithShape="1">
                <a:gsLst>
                  <a:gs pos="0">
                    <a:srgbClr val="002060"/>
                  </a:gs>
                  <a:gs pos="69000">
                    <a:schemeClr val="tx1"/>
                  </a:gs>
                </a:gsLst>
                <a:lin ang="1200000" scaled="0"/>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B-012C-497A-BE87-10953339FABA}"/>
              </c:ext>
            </c:extLst>
          </c:dPt>
          <c:dPt>
            <c:idx val="6"/>
            <c:bubble3D val="0"/>
            <c:spPr>
              <a:gradFill flip="none" rotWithShape="1">
                <a:gsLst>
                  <a:gs pos="0">
                    <a:srgbClr val="002060"/>
                  </a:gs>
                  <a:gs pos="69000">
                    <a:schemeClr val="tx1"/>
                  </a:gs>
                </a:gsLst>
                <a:lin ang="4800000" scaled="0"/>
                <a:tileRect/>
              </a:gradFill>
              <a:ln w="9525" cap="flat" cmpd="sng" algn="ctr">
                <a:gradFill>
                  <a:gsLst>
                    <a:gs pos="83000">
                      <a:schemeClr val="tx2">
                        <a:lumMod val="7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D-012C-497A-BE87-10953339FABA}"/>
              </c:ext>
            </c:extLst>
          </c:dPt>
          <c:cat>
            <c:strRef>
              <c:f>customers_data!$J$21:$J$27</c:f>
              <c:strCache>
                <c:ptCount val="7"/>
                <c:pt idx="0">
                  <c:v>Europe</c:v>
                </c:pt>
                <c:pt idx="1">
                  <c:v>North America</c:v>
                </c:pt>
                <c:pt idx="2">
                  <c:v>Africa</c:v>
                </c:pt>
                <c:pt idx="3">
                  <c:v>South America</c:v>
                </c:pt>
                <c:pt idx="4">
                  <c:v>Asia</c:v>
                </c:pt>
                <c:pt idx="5">
                  <c:v>Middle East</c:v>
                </c:pt>
                <c:pt idx="6">
                  <c:v>Oceania</c:v>
                </c:pt>
              </c:strCache>
            </c:strRef>
          </c:cat>
          <c:val>
            <c:numRef>
              <c:f>customers_data!$K$21:$K$27</c:f>
              <c:numCache>
                <c:formatCode>0%</c:formatCode>
                <c:ptCount val="7"/>
                <c:pt idx="0">
                  <c:v>0.13857142857142857</c:v>
                </c:pt>
                <c:pt idx="1">
                  <c:v>0.14285714285714285</c:v>
                </c:pt>
                <c:pt idx="2">
                  <c:v>0.15428571428571428</c:v>
                </c:pt>
                <c:pt idx="3">
                  <c:v>0.14214285714285715</c:v>
                </c:pt>
                <c:pt idx="4">
                  <c:v>0.13928571428571429</c:v>
                </c:pt>
                <c:pt idx="5">
                  <c:v>0.14428571428571429</c:v>
                </c:pt>
                <c:pt idx="6">
                  <c:v>0.13857142857142857</c:v>
                </c:pt>
              </c:numCache>
            </c:numRef>
          </c:val>
          <c:extLst>
            <c:ext xmlns:c16="http://schemas.microsoft.com/office/drawing/2014/chart" uri="{C3380CC4-5D6E-409C-BE32-E72D297353CC}">
              <c16:uniqueId val="{0000000E-012C-497A-BE87-10953339FABA}"/>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[projectmain.xlsx]pivots_customers!PivotTable3</c:name>
    <c:fmtId val="11"/>
  </c:pivotSource>
  <c:chart>
    <c:autoTitleDeleted val="1"/>
    <c:pivotFmts>
      <c:pivotFmt>
        <c:idx val="0"/>
        <c:spPr>
          <a:solidFill>
            <a:schemeClr val="accent1"/>
          </a:solidFill>
          <a:ln w="28575" cap="rnd">
            <a:gradFill>
              <a:gsLst>
                <a:gs pos="5000">
                  <a:srgbClr val="002060"/>
                </a:gs>
                <a:gs pos="100000">
                  <a:srgbClr val="00206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5000">
                  <a:srgbClr val="002060"/>
                </a:gs>
                <a:gs pos="100000">
                  <a:srgbClr val="00206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pivots_customers!$F$10</c:f>
              <c:strCache>
                <c:ptCount val="1"/>
                <c:pt idx="0">
                  <c:v>Total</c:v>
                </c:pt>
              </c:strCache>
            </c:strRef>
          </c:tx>
          <c:spPr>
            <a:ln w="28575" cap="rnd">
              <a:solidFill>
                <a:schemeClr val="bg2"/>
              </a:solidFill>
              <a:round/>
            </a:ln>
            <a:effectLst/>
          </c:spPr>
          <c:marker>
            <c:symbol val="none"/>
          </c:marker>
          <c:cat>
            <c:multiLvlStrRef>
              <c:f>pivots_customers!$E$11:$E$25</c:f>
              <c:multiLvlStrCache>
                <c:ptCount val="7"/>
                <c:lvl>
                  <c:pt idx="0">
                    <c:v>Other</c:v>
                  </c:pt>
                  <c:pt idx="1">
                    <c:v>Other</c:v>
                  </c:pt>
                  <c:pt idx="2">
                    <c:v>Other</c:v>
                  </c:pt>
                  <c:pt idx="3">
                    <c:v>Other</c:v>
                  </c:pt>
                  <c:pt idx="4">
                    <c:v>Other</c:v>
                  </c:pt>
                  <c:pt idx="5">
                    <c:v>Other</c:v>
                  </c:pt>
                  <c:pt idx="6">
                    <c:v>Other</c:v>
                  </c:pt>
                </c:lvl>
                <c:lvl>
                  <c:pt idx="0">
                    <c:v>Africa</c:v>
                  </c:pt>
                  <c:pt idx="1">
                    <c:v>Asia</c:v>
                  </c:pt>
                  <c:pt idx="2">
                    <c:v>Europe</c:v>
                  </c:pt>
                  <c:pt idx="3">
                    <c:v>Middle East</c:v>
                  </c:pt>
                  <c:pt idx="4">
                    <c:v>North America</c:v>
                  </c:pt>
                  <c:pt idx="5">
                    <c:v>Oceania</c:v>
                  </c:pt>
                  <c:pt idx="6">
                    <c:v>South America</c:v>
                  </c:pt>
                </c:lvl>
              </c:multiLvlStrCache>
            </c:multiLvlStrRef>
          </c:cat>
          <c:val>
            <c:numRef>
              <c:f>pivots_customers!$F$11:$F$25</c:f>
              <c:numCache>
                <c:formatCode>General</c:formatCode>
                <c:ptCount val="7"/>
                <c:pt idx="0">
                  <c:v>66</c:v>
                </c:pt>
                <c:pt idx="1">
                  <c:v>64</c:v>
                </c:pt>
                <c:pt idx="2">
                  <c:v>67</c:v>
                </c:pt>
                <c:pt idx="3">
                  <c:v>63</c:v>
                </c:pt>
                <c:pt idx="4">
                  <c:v>69</c:v>
                </c:pt>
                <c:pt idx="5">
                  <c:v>75</c:v>
                </c:pt>
                <c:pt idx="6">
                  <c:v>69</c:v>
                </c:pt>
              </c:numCache>
            </c:numRef>
          </c:val>
          <c:extLst>
            <c:ext xmlns:c16="http://schemas.microsoft.com/office/drawing/2014/chart" uri="{C3380CC4-5D6E-409C-BE32-E72D297353CC}">
              <c16:uniqueId val="{00000000-B7CF-46E6-A3C3-E1BE2D51FF7B}"/>
            </c:ext>
          </c:extLst>
        </c:ser>
        <c:dLbls>
          <c:showLegendKey val="0"/>
          <c:showVal val="0"/>
          <c:showCatName val="0"/>
          <c:showSerName val="0"/>
          <c:showPercent val="0"/>
          <c:showBubbleSize val="0"/>
        </c:dLbls>
        <c:axId val="1734019119"/>
        <c:axId val="1733979279"/>
      </c:radarChart>
      <c:catAx>
        <c:axId val="1734019119"/>
        <c:scaling>
          <c:orientation val="minMax"/>
        </c:scaling>
        <c:delete val="1"/>
        <c:axPos val="b"/>
        <c:numFmt formatCode="General" sourceLinked="1"/>
        <c:majorTickMark val="none"/>
        <c:minorTickMark val="none"/>
        <c:tickLblPos val="none"/>
        <c:crossAx val="1733979279"/>
        <c:crosses val="autoZero"/>
        <c:auto val="1"/>
        <c:lblAlgn val="ctr"/>
        <c:lblOffset val="100"/>
        <c:noMultiLvlLbl val="0"/>
      </c:catAx>
      <c:valAx>
        <c:axId val="1733979279"/>
        <c:scaling>
          <c:orientation val="minMax"/>
        </c:scaling>
        <c:delete val="1"/>
        <c:axPos val="l"/>
        <c:majorGridlines>
          <c:spPr>
            <a:ln w="3175" cap="flat" cmpd="sng" algn="ctr">
              <a:solidFill>
                <a:schemeClr val="bg2">
                  <a:alpha val="62000"/>
                </a:schemeClr>
              </a:solidFill>
              <a:prstDash val="sysDot"/>
              <a:round/>
              <a:headEnd w="sm" len="sm"/>
            </a:ln>
            <a:effectLst/>
          </c:spPr>
        </c:majorGridlines>
        <c:numFmt formatCode="General" sourceLinked="1"/>
        <c:majorTickMark val="none"/>
        <c:minorTickMark val="none"/>
        <c:tickLblPos val="nextTo"/>
        <c:crossAx val="173401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[projectmain.xlsx]pivots_partners!PivotTable3</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
                <a:srgbClr val="002060"/>
              </a:gs>
              <a:gs pos="81000">
                <a:schemeClr val="tx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pivots_partners!$N$25</c:f>
              <c:strCache>
                <c:ptCount val="1"/>
                <c:pt idx="0">
                  <c:v>Total</c:v>
                </c:pt>
              </c:strCache>
            </c:strRef>
          </c:tx>
          <c:spPr>
            <a:gradFill>
              <a:gsLst>
                <a:gs pos="7000">
                  <a:srgbClr val="002060"/>
                </a:gs>
                <a:gs pos="81000">
                  <a:schemeClr val="tx1"/>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pivots_partners!$M$26:$M$46</c:f>
              <c:strCache>
                <c:ptCount val="20"/>
                <c:pt idx="0">
                  <c:v>Aramex</c:v>
                </c:pt>
                <c:pt idx="1">
                  <c:v>Australia Post</c:v>
                </c:pt>
                <c:pt idx="2">
                  <c:v>Blue Dart</c:v>
                </c:pt>
                <c:pt idx="3">
                  <c:v>Canada Post</c:v>
                </c:pt>
                <c:pt idx="4">
                  <c:v>China Post</c:v>
                </c:pt>
                <c:pt idx="5">
                  <c:v>Chronopost</c:v>
                </c:pt>
                <c:pt idx="6">
                  <c:v>Correios</c:v>
                </c:pt>
                <c:pt idx="7">
                  <c:v>DHL Express</c:v>
                </c:pt>
                <c:pt idx="8">
                  <c:v>Fastway</c:v>
                </c:pt>
                <c:pt idx="9">
                  <c:v>FedEx</c:v>
                </c:pt>
                <c:pt idx="10">
                  <c:v>India Post</c:v>
                </c:pt>
                <c:pt idx="11">
                  <c:v>Japan Post</c:v>
                </c:pt>
                <c:pt idx="12">
                  <c:v>MRW</c:v>
                </c:pt>
                <c:pt idx="13">
                  <c:v>Royal Mail</c:v>
                </c:pt>
                <c:pt idx="14">
                  <c:v>Sendle</c:v>
                </c:pt>
                <c:pt idx="15">
                  <c:v>Shiprocket</c:v>
                </c:pt>
                <c:pt idx="16">
                  <c:v>South African Post</c:v>
                </c:pt>
                <c:pt idx="17">
                  <c:v>TNT Express</c:v>
                </c:pt>
                <c:pt idx="18">
                  <c:v>Turkish Cargo</c:v>
                </c:pt>
                <c:pt idx="19">
                  <c:v>UPS</c:v>
                </c:pt>
              </c:strCache>
            </c:strRef>
          </c:cat>
          <c:val>
            <c:numRef>
              <c:f>pivots_partners!$N$26:$N$46</c:f>
              <c:numCache>
                <c:formatCode>0.00</c:formatCode>
                <c:ptCount val="20"/>
                <c:pt idx="0">
                  <c:v>3.9714285714285711</c:v>
                </c:pt>
                <c:pt idx="1">
                  <c:v>3.9642857142857144</c:v>
                </c:pt>
                <c:pt idx="2">
                  <c:v>4.0071428571428571</c:v>
                </c:pt>
                <c:pt idx="3">
                  <c:v>4.0642857142857149</c:v>
                </c:pt>
                <c:pt idx="4">
                  <c:v>4.1285714285714281</c:v>
                </c:pt>
                <c:pt idx="5">
                  <c:v>4</c:v>
                </c:pt>
                <c:pt idx="6">
                  <c:v>3.842857142857143</c:v>
                </c:pt>
                <c:pt idx="7">
                  <c:v>3.8928571428571423</c:v>
                </c:pt>
                <c:pt idx="8">
                  <c:v>4.2857142857142856</c:v>
                </c:pt>
                <c:pt idx="9">
                  <c:v>4</c:v>
                </c:pt>
                <c:pt idx="10">
                  <c:v>3.9785714285714282</c:v>
                </c:pt>
                <c:pt idx="11">
                  <c:v>4.2214285714285715</c:v>
                </c:pt>
                <c:pt idx="12">
                  <c:v>3.9785714285714282</c:v>
                </c:pt>
                <c:pt idx="13">
                  <c:v>3.5428571428571431</c:v>
                </c:pt>
                <c:pt idx="14">
                  <c:v>4.0285714285714285</c:v>
                </c:pt>
                <c:pt idx="15">
                  <c:v>3.9071428571428579</c:v>
                </c:pt>
                <c:pt idx="16">
                  <c:v>4.0642857142857141</c:v>
                </c:pt>
                <c:pt idx="17">
                  <c:v>3.9071428571428579</c:v>
                </c:pt>
                <c:pt idx="18">
                  <c:v>4.0071428571428571</c:v>
                </c:pt>
                <c:pt idx="19">
                  <c:v>3.8642857142857143</c:v>
                </c:pt>
              </c:numCache>
            </c:numRef>
          </c:val>
          <c:extLst>
            <c:ext xmlns:c16="http://schemas.microsoft.com/office/drawing/2014/chart" uri="{C3380CC4-5D6E-409C-BE32-E72D297353CC}">
              <c16:uniqueId val="{00000000-A8E7-4F71-9366-EFB4B15B7158}"/>
            </c:ext>
          </c:extLst>
        </c:ser>
        <c:dLbls>
          <c:showLegendKey val="0"/>
          <c:showVal val="0"/>
          <c:showCatName val="0"/>
          <c:showSerName val="0"/>
          <c:showPercent val="0"/>
          <c:showBubbleSize val="0"/>
        </c:dLbls>
        <c:gapWidth val="220"/>
        <c:gapDepth val="0"/>
        <c:shape val="box"/>
        <c:axId val="404671136"/>
        <c:axId val="404667776"/>
        <c:axId val="0"/>
      </c:bar3DChart>
      <c:catAx>
        <c:axId val="404671136"/>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1000" b="0" i="0" u="none" strike="noStrike" kern="1200" baseline="0">
                <a:solidFill>
                  <a:schemeClr val="bg1"/>
                </a:solidFill>
                <a:latin typeface="+mn-lt"/>
                <a:ea typeface="+mn-ea"/>
                <a:cs typeface="+mn-cs"/>
              </a:defRPr>
            </a:pPr>
            <a:endParaRPr lang="en-US"/>
          </a:p>
        </c:txPr>
        <c:crossAx val="404667776"/>
        <c:crosses val="autoZero"/>
        <c:auto val="1"/>
        <c:lblAlgn val="ctr"/>
        <c:lblOffset val="100"/>
        <c:noMultiLvlLbl val="0"/>
      </c:catAx>
      <c:valAx>
        <c:axId val="404667776"/>
        <c:scaling>
          <c:orientation val="minMax"/>
        </c:scaling>
        <c:delete val="1"/>
        <c:axPos val="l"/>
        <c:numFmt formatCode="0.00" sourceLinked="1"/>
        <c:majorTickMark val="out"/>
        <c:minorTickMark val="none"/>
        <c:tickLblPos val="nextTo"/>
        <c:crossAx val="40467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[projectmain.xlsx]pivots_partners!PivotTable1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58000">
                <a:schemeClr val="tx1"/>
              </a:gs>
            </a:gsLst>
            <a:lin ang="5400000" scaled="1"/>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pivots_partners!$B$3</c:f>
              <c:strCache>
                <c:ptCount val="1"/>
                <c:pt idx="0">
                  <c:v>Total</c:v>
                </c:pt>
              </c:strCache>
            </c:strRef>
          </c:tx>
          <c:spPr>
            <a:gradFill>
              <a:gsLst>
                <a:gs pos="0">
                  <a:srgbClr val="002060"/>
                </a:gs>
                <a:gs pos="58000">
                  <a:schemeClr val="tx1"/>
                </a:gs>
              </a:gsLst>
              <a:lin ang="5400000" scaled="1"/>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pivots_partners!$A$4:$A$24</c:f>
              <c:strCache>
                <c:ptCount val="20"/>
                <c:pt idx="0">
                  <c:v>Aramex</c:v>
                </c:pt>
                <c:pt idx="1">
                  <c:v>Australia Post</c:v>
                </c:pt>
                <c:pt idx="2">
                  <c:v>Blue Dart</c:v>
                </c:pt>
                <c:pt idx="3">
                  <c:v>Canada Post</c:v>
                </c:pt>
                <c:pt idx="4">
                  <c:v>China Post</c:v>
                </c:pt>
                <c:pt idx="5">
                  <c:v>Chronopost</c:v>
                </c:pt>
                <c:pt idx="6">
                  <c:v>Correios</c:v>
                </c:pt>
                <c:pt idx="7">
                  <c:v>DHL Express</c:v>
                </c:pt>
                <c:pt idx="8">
                  <c:v>Fastway</c:v>
                </c:pt>
                <c:pt idx="9">
                  <c:v>FedEx</c:v>
                </c:pt>
                <c:pt idx="10">
                  <c:v>India Post</c:v>
                </c:pt>
                <c:pt idx="11">
                  <c:v>Japan Post</c:v>
                </c:pt>
                <c:pt idx="12">
                  <c:v>MRW</c:v>
                </c:pt>
                <c:pt idx="13">
                  <c:v>Royal Mail</c:v>
                </c:pt>
                <c:pt idx="14">
                  <c:v>Sendle</c:v>
                </c:pt>
                <c:pt idx="15">
                  <c:v>Shiprocket</c:v>
                </c:pt>
                <c:pt idx="16">
                  <c:v>South African Post</c:v>
                </c:pt>
                <c:pt idx="17">
                  <c:v>TNT Express</c:v>
                </c:pt>
                <c:pt idx="18">
                  <c:v>Turkish Cargo</c:v>
                </c:pt>
                <c:pt idx="19">
                  <c:v>UPS</c:v>
                </c:pt>
              </c:strCache>
            </c:strRef>
          </c:cat>
          <c:val>
            <c:numRef>
              <c:f>pivots_partners!$B$4:$B$24</c:f>
              <c:numCache>
                <c:formatCode>_-* #,##0_-;\-* #,##0_-;_-* "-"??_-;_-@_-</c:formatCode>
                <c:ptCount val="20"/>
                <c:pt idx="0">
                  <c:v>3941</c:v>
                </c:pt>
                <c:pt idx="1">
                  <c:v>4345</c:v>
                </c:pt>
                <c:pt idx="2">
                  <c:v>4226</c:v>
                </c:pt>
                <c:pt idx="3">
                  <c:v>4435</c:v>
                </c:pt>
                <c:pt idx="4">
                  <c:v>4368</c:v>
                </c:pt>
                <c:pt idx="5">
                  <c:v>4156</c:v>
                </c:pt>
                <c:pt idx="6">
                  <c:v>3937</c:v>
                </c:pt>
                <c:pt idx="7">
                  <c:v>4030</c:v>
                </c:pt>
                <c:pt idx="8">
                  <c:v>3973</c:v>
                </c:pt>
                <c:pt idx="9">
                  <c:v>3183</c:v>
                </c:pt>
                <c:pt idx="10">
                  <c:v>5011</c:v>
                </c:pt>
                <c:pt idx="11">
                  <c:v>3756</c:v>
                </c:pt>
                <c:pt idx="12">
                  <c:v>4066</c:v>
                </c:pt>
                <c:pt idx="13">
                  <c:v>3620</c:v>
                </c:pt>
                <c:pt idx="14">
                  <c:v>3864</c:v>
                </c:pt>
                <c:pt idx="15">
                  <c:v>3978</c:v>
                </c:pt>
                <c:pt idx="16">
                  <c:v>4029</c:v>
                </c:pt>
                <c:pt idx="17">
                  <c:v>4312</c:v>
                </c:pt>
                <c:pt idx="18">
                  <c:v>5082</c:v>
                </c:pt>
                <c:pt idx="19">
                  <c:v>4955</c:v>
                </c:pt>
              </c:numCache>
            </c:numRef>
          </c:val>
          <c:extLst>
            <c:ext xmlns:c16="http://schemas.microsoft.com/office/drawing/2014/chart" uri="{C3380CC4-5D6E-409C-BE32-E72D297353CC}">
              <c16:uniqueId val="{00000000-47E9-4017-B093-B0D0064A7B71}"/>
            </c:ext>
          </c:extLst>
        </c:ser>
        <c:dLbls>
          <c:showLegendKey val="0"/>
          <c:showVal val="0"/>
          <c:showCatName val="0"/>
          <c:showSerName val="0"/>
          <c:showPercent val="0"/>
          <c:showBubbleSize val="0"/>
        </c:dLbls>
        <c:gapWidth val="219"/>
        <c:overlap val="-27"/>
        <c:axId val="1024943184"/>
        <c:axId val="1024945584"/>
      </c:barChart>
      <c:catAx>
        <c:axId val="10249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024945584"/>
        <c:crosses val="autoZero"/>
        <c:auto val="1"/>
        <c:lblAlgn val="ctr"/>
        <c:lblOffset val="100"/>
        <c:noMultiLvlLbl val="0"/>
      </c:catAx>
      <c:valAx>
        <c:axId val="1024945584"/>
        <c:scaling>
          <c:orientation val="minMax"/>
        </c:scaling>
        <c:delete val="1"/>
        <c:axPos val="l"/>
        <c:numFmt formatCode="_-* #,##0_-;\-* #,##0_-;_-* &quot;-&quot;??_-;_-@_-" sourceLinked="1"/>
        <c:majorTickMark val="none"/>
        <c:minorTickMark val="none"/>
        <c:tickLblPos val="nextTo"/>
        <c:crossAx val="102494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[projectmain.xlsx]pivots_partners!PivotTable2</c:name>
    <c:fmtId val="7"/>
  </c:pivotSource>
  <c:chart>
    <c:autoTitleDeleted val="1"/>
    <c:pivotFmts>
      <c:pivotFmt>
        <c:idx val="0"/>
        <c:spPr>
          <a:gradFill>
            <a:gsLst>
              <a:gs pos="65000">
                <a:schemeClr val="accent1">
                  <a:lumMod val="75000"/>
                </a:schemeClr>
              </a:gs>
              <a:gs pos="100000">
                <a:srgbClr val="002060"/>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tx1"/>
              </a:gs>
              <a:gs pos="46000">
                <a:srgbClr val="002060"/>
              </a:gs>
            </a:gsLst>
            <a:lin ang="4800000" scaled="0"/>
          </a:gradFill>
          <a:ln w="19050">
            <a:noFill/>
          </a:ln>
          <a:effectLst/>
        </c:spPr>
      </c:pivotFmt>
      <c:pivotFmt>
        <c:idx val="2"/>
        <c:spPr>
          <a:gradFill>
            <a:gsLst>
              <a:gs pos="32000">
                <a:schemeClr val="accent1">
                  <a:lumMod val="60000"/>
                  <a:lumOff val="40000"/>
                </a:schemeClr>
              </a:gs>
              <a:gs pos="100000">
                <a:srgbClr val="002060"/>
              </a:gs>
            </a:gsLst>
            <a:lin ang="5400000" scaled="1"/>
          </a:gradFill>
          <a:ln w="19050">
            <a:noFill/>
          </a:ln>
          <a:effectLst/>
        </c:spPr>
      </c:pivotFmt>
      <c:pivotFmt>
        <c:idx val="3"/>
        <c:spPr>
          <a:gradFill>
            <a:gsLst>
              <a:gs pos="65000">
                <a:schemeClr val="accent1">
                  <a:lumMod val="75000"/>
                </a:schemeClr>
              </a:gs>
              <a:gs pos="100000">
                <a:srgbClr val="002060"/>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2000">
                <a:schemeClr val="accent1">
                  <a:lumMod val="60000"/>
                  <a:lumOff val="40000"/>
                </a:schemeClr>
              </a:gs>
              <a:gs pos="100000">
                <a:srgbClr val="002060"/>
              </a:gs>
            </a:gsLst>
            <a:lin ang="5400000" scaled="1"/>
          </a:gradFill>
          <a:ln w="19050">
            <a:noFill/>
          </a:ln>
          <a:effectLst/>
        </c:spPr>
      </c:pivotFmt>
      <c:pivotFmt>
        <c:idx val="5"/>
        <c:spPr>
          <a:gradFill>
            <a:gsLst>
              <a:gs pos="0">
                <a:schemeClr val="tx1"/>
              </a:gs>
              <a:gs pos="46000">
                <a:srgbClr val="002060"/>
              </a:gs>
            </a:gsLst>
            <a:lin ang="4800000" scaled="0"/>
          </a:gradFill>
          <a:ln w="19050">
            <a:noFill/>
          </a:ln>
          <a:effectLst/>
        </c:spPr>
      </c:pivotFmt>
      <c:pivotFmt>
        <c:idx val="6"/>
        <c:spPr>
          <a:gradFill>
            <a:gsLst>
              <a:gs pos="65000">
                <a:schemeClr val="accent1">
                  <a:lumMod val="75000"/>
                </a:schemeClr>
              </a:gs>
              <a:gs pos="100000">
                <a:srgbClr val="002060"/>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34000">
                <a:schemeClr val="accent1">
                  <a:lumMod val="75000"/>
                </a:schemeClr>
              </a:gs>
              <a:gs pos="100000">
                <a:srgbClr val="002060"/>
              </a:gs>
            </a:gsLst>
            <a:lin ang="5400000" scaled="1"/>
          </a:gradFill>
          <a:ln w="19050">
            <a:noFill/>
          </a:ln>
          <a:effectLst/>
        </c:spPr>
      </c:pivotFmt>
      <c:pivotFmt>
        <c:idx val="8"/>
        <c:spPr>
          <a:gradFill>
            <a:gsLst>
              <a:gs pos="0">
                <a:schemeClr val="tx1"/>
              </a:gs>
              <a:gs pos="46000">
                <a:srgbClr val="002060"/>
              </a:gs>
            </a:gsLst>
            <a:lin ang="4800000" scaled="0"/>
          </a:gradFill>
          <a:ln w="19050">
            <a:noFill/>
          </a:ln>
          <a:effectLst/>
        </c:spPr>
      </c:pivotFmt>
    </c:pivotFmts>
    <c:plotArea>
      <c:layout/>
      <c:doughnutChart>
        <c:varyColors val="1"/>
        <c:ser>
          <c:idx val="0"/>
          <c:order val="0"/>
          <c:tx>
            <c:strRef>
              <c:f>pivots_partners!$E$13</c:f>
              <c:strCache>
                <c:ptCount val="1"/>
                <c:pt idx="0">
                  <c:v>Total</c:v>
                </c:pt>
              </c:strCache>
            </c:strRef>
          </c:tx>
          <c:spPr>
            <a:gradFill>
              <a:gsLst>
                <a:gs pos="65000">
                  <a:schemeClr val="accent1">
                    <a:lumMod val="75000"/>
                  </a:schemeClr>
                </a:gs>
                <a:gs pos="100000">
                  <a:srgbClr val="002060"/>
                </a:gs>
              </a:gsLst>
              <a:lin ang="5400000" scaled="1"/>
            </a:gradFill>
            <a:ln>
              <a:noFill/>
            </a:ln>
          </c:spPr>
          <c:dPt>
            <c:idx val="0"/>
            <c:bubble3D val="0"/>
            <c:spPr>
              <a:gradFill>
                <a:gsLst>
                  <a:gs pos="34000">
                    <a:schemeClr val="accent1">
                      <a:lumMod val="75000"/>
                    </a:schemeClr>
                  </a:gs>
                  <a:gs pos="100000">
                    <a:srgbClr val="002060"/>
                  </a:gs>
                </a:gsLst>
                <a:lin ang="5400000" scaled="1"/>
              </a:gradFill>
              <a:ln w="19050">
                <a:noFill/>
              </a:ln>
              <a:effectLst/>
            </c:spPr>
            <c:extLst>
              <c:ext xmlns:c16="http://schemas.microsoft.com/office/drawing/2014/chart" uri="{C3380CC4-5D6E-409C-BE32-E72D297353CC}">
                <c16:uniqueId val="{00000001-50F1-4952-B1D9-615FFB0BC935}"/>
              </c:ext>
            </c:extLst>
          </c:dPt>
          <c:dPt>
            <c:idx val="1"/>
            <c:bubble3D val="0"/>
            <c:spPr>
              <a:gradFill>
                <a:gsLst>
                  <a:gs pos="0">
                    <a:schemeClr val="tx1"/>
                  </a:gs>
                  <a:gs pos="46000">
                    <a:srgbClr val="002060"/>
                  </a:gs>
                </a:gsLst>
                <a:lin ang="4800000" scaled="0"/>
              </a:gradFill>
              <a:ln w="19050">
                <a:noFill/>
              </a:ln>
              <a:effectLst/>
            </c:spPr>
            <c:extLst>
              <c:ext xmlns:c16="http://schemas.microsoft.com/office/drawing/2014/chart" uri="{C3380CC4-5D6E-409C-BE32-E72D297353CC}">
                <c16:uniqueId val="{00000003-50F1-4952-B1D9-615FFB0BC935}"/>
              </c:ext>
            </c:extLst>
          </c:dPt>
          <c:cat>
            <c:strRef>
              <c:f>pivots_partners!$D$14:$D$16</c:f>
              <c:strCache>
                <c:ptCount val="2"/>
                <c:pt idx="0">
                  <c:v>Active</c:v>
                </c:pt>
                <c:pt idx="1">
                  <c:v>Inactive</c:v>
                </c:pt>
              </c:strCache>
            </c:strRef>
          </c:cat>
          <c:val>
            <c:numRef>
              <c:f>pivots_partners!$E$14:$E$16</c:f>
              <c:numCache>
                <c:formatCode>General</c:formatCode>
                <c:ptCount val="2"/>
                <c:pt idx="0">
                  <c:v>258</c:v>
                </c:pt>
                <c:pt idx="1">
                  <c:v>22</c:v>
                </c:pt>
              </c:numCache>
            </c:numRef>
          </c:val>
          <c:extLst>
            <c:ext xmlns:c16="http://schemas.microsoft.com/office/drawing/2014/chart" uri="{C3380CC4-5D6E-409C-BE32-E72D297353CC}">
              <c16:uniqueId val="{00000004-50F1-4952-B1D9-615FFB0BC9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FA6BED88-7C8C-4422-97AD-118E6C8517C3}">
          <cx:spPr>
            <a:gradFill>
              <a:gsLst>
                <a:gs pos="9000">
                  <a:srgbClr val="002060"/>
                </a:gs>
                <a:gs pos="53000">
                  <a:schemeClr val="tx1"/>
                </a:gs>
              </a:gsLst>
              <a:lin ang="5400000" scaled="1"/>
            </a:gradFill>
            <a:ln>
              <a:noFill/>
            </a:ln>
          </cx:spPr>
          <cx:dataId val="0"/>
          <cx:layoutPr>
            <cx:aggregation/>
          </cx:layoutPr>
          <cx:axisId val="1"/>
        </cx:series>
        <cx:series layoutId="paretoLine" ownerIdx="0" uniqueId="{66D0A0D8-CB53-43CC-9386-F2A126443A96}">
          <cx:spPr>
            <a:ln>
              <a:noFill/>
            </a:ln>
          </cx:spPr>
          <cx:axisId val="2"/>
        </cx:series>
      </cx:plotAreaRegion>
      <cx:axis id="0">
        <cx:catScaling gapWidth="1.88999999"/>
        <cx:tickLabels/>
        <cx:txPr>
          <a:bodyPr spcFirstLastPara="1" vertOverflow="ellipsis" horzOverflow="overflow" wrap="square" lIns="0" tIns="0" rIns="0" bIns="0" anchor="ctr" anchorCtr="1"/>
          <a:lstStyle/>
          <a:p>
            <a:pPr algn="ctr" rtl="0">
              <a:defRPr sz="1000">
                <a:solidFill>
                  <a:schemeClr val="bg1">
                    <a:lumMod val="85000"/>
                  </a:schemeClr>
                </a:solidFill>
              </a:defRPr>
            </a:pPr>
            <a:endParaRPr lang="en-US" sz="1000" b="0" i="0" u="none" strike="noStrike" baseline="0">
              <a:solidFill>
                <a:schemeClr val="bg1">
                  <a:lumMod val="85000"/>
                </a:schemeClr>
              </a:solidFill>
              <a:latin typeface="Calibri" panose="020F0502020204030204"/>
            </a:endParaRPr>
          </a:p>
        </cx:txPr>
      </cx:axis>
      <cx:axis id="1" hidden="1">
        <cx:valScaling/>
        <cx:tickLabels/>
      </cx:axis>
      <cx:axis id="2" hidden="1">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About!A1"/><Relationship Id="rId7" Type="http://schemas.openxmlformats.org/officeDocument/2006/relationships/chart" Target="../charts/chart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4.xml"/><Relationship Id="rId5" Type="http://schemas.openxmlformats.org/officeDocument/2006/relationships/hyperlink" Target="#Menu!A1"/><Relationship Id="rId10" Type="http://schemas.microsoft.com/office/2014/relationships/chartEx" Target="../charts/chartEx1.xml"/><Relationship Id="rId4" Type="http://schemas.openxmlformats.org/officeDocument/2006/relationships/hyperlink" Target="#Partners!R1C1"/><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About!A1"/><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Menu!A1"/><Relationship Id="rId5" Type="http://schemas.openxmlformats.org/officeDocument/2006/relationships/hyperlink" Target="#Partners!R1C1"/><Relationship Id="rId4" Type="http://schemas.openxmlformats.org/officeDocument/2006/relationships/hyperlink" Target="#Products!R1C1"/><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hyperlink" Target="#About!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Menu!A1"/><Relationship Id="rId5" Type="http://schemas.openxmlformats.org/officeDocument/2006/relationships/hyperlink" Target="#Partners!R1C1"/><Relationship Id="rId4" Type="http://schemas.openxmlformats.org/officeDocument/2006/relationships/hyperlink" Target="#Products!R1C1"/></Relationships>
</file>

<file path=xl/drawings/_rels/drawing5.xml.rels><?xml version="1.0" encoding="UTF-8" standalone="yes"?>
<Relationships xmlns="http://schemas.openxmlformats.org/package/2006/relationships"><Relationship Id="rId3" Type="http://schemas.openxmlformats.org/officeDocument/2006/relationships/hyperlink" Target="#About!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Menu!A1"/><Relationship Id="rId5" Type="http://schemas.openxmlformats.org/officeDocument/2006/relationships/hyperlink" Target="#Partners!R1C1"/><Relationship Id="rId4" Type="http://schemas.openxmlformats.org/officeDocument/2006/relationships/hyperlink" Target="#Products!R1C1"/></Relationships>
</file>

<file path=xl/drawings/drawing1.xml><?xml version="1.0" encoding="utf-8"?>
<xdr:wsDr xmlns:xdr="http://schemas.openxmlformats.org/drawingml/2006/spreadsheetDrawing" xmlns:a="http://schemas.openxmlformats.org/drawingml/2006/main">
  <xdr:twoCellAnchor>
    <xdr:from>
      <xdr:col>9</xdr:col>
      <xdr:colOff>200025</xdr:colOff>
      <xdr:row>6</xdr:row>
      <xdr:rowOff>66675</xdr:rowOff>
    </xdr:from>
    <xdr:to>
      <xdr:col>12</xdr:col>
      <xdr:colOff>300038</xdr:colOff>
      <xdr:row>17</xdr:row>
      <xdr:rowOff>161924</xdr:rowOff>
    </xdr:to>
    <xdr:graphicFrame macro="">
      <xdr:nvGraphicFramePr>
        <xdr:cNvPr id="2" name="Chart 1">
          <a:extLst>
            <a:ext uri="{FF2B5EF4-FFF2-40B4-BE49-F238E27FC236}">
              <a16:creationId xmlns:a16="http://schemas.microsoft.com/office/drawing/2014/main" id="{4DA68518-ABE8-4BE1-868D-4C493994F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345281</xdr:colOff>
      <xdr:row>3</xdr:row>
      <xdr:rowOff>166680</xdr:rowOff>
    </xdr:from>
    <xdr:to>
      <xdr:col>2</xdr:col>
      <xdr:colOff>511968</xdr:colOff>
      <xdr:row>7</xdr:row>
      <xdr:rowOff>166680</xdr:rowOff>
    </xdr:to>
    <xdr:sp macro="" textlink="">
      <xdr:nvSpPr>
        <xdr:cNvPr id="17" name="Rectangle: Rounded Corners 16">
          <a:extLst>
            <a:ext uri="{FF2B5EF4-FFF2-40B4-BE49-F238E27FC236}">
              <a16:creationId xmlns:a16="http://schemas.microsoft.com/office/drawing/2014/main" id="{629B68C3-D670-1FE4-15D1-FEACA66B7770}"/>
            </a:ext>
          </a:extLst>
        </xdr:cNvPr>
        <xdr:cNvSpPr/>
      </xdr:nvSpPr>
      <xdr:spPr>
        <a:xfrm>
          <a:off x="345281" y="738180"/>
          <a:ext cx="1381125" cy="762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27</xdr:col>
      <xdr:colOff>561975</xdr:colOff>
      <xdr:row>1</xdr:row>
      <xdr:rowOff>93662</xdr:rowOff>
    </xdr:to>
    <xdr:grpSp>
      <xdr:nvGrpSpPr>
        <xdr:cNvPr id="14" name="Group 13">
          <a:extLst>
            <a:ext uri="{FF2B5EF4-FFF2-40B4-BE49-F238E27FC236}">
              <a16:creationId xmlns:a16="http://schemas.microsoft.com/office/drawing/2014/main" id="{5116423E-B112-5A30-EB40-70952C8C2211}"/>
            </a:ext>
          </a:extLst>
        </xdr:cNvPr>
        <xdr:cNvGrpSpPr/>
      </xdr:nvGrpSpPr>
      <xdr:grpSpPr>
        <a:xfrm>
          <a:off x="0" y="0"/>
          <a:ext cx="16956881" cy="284162"/>
          <a:chOff x="0" y="0"/>
          <a:chExt cx="16956881" cy="284162"/>
        </a:xfrm>
      </xdr:grpSpPr>
      <xdr:sp macro="" textlink="">
        <xdr:nvSpPr>
          <xdr:cNvPr id="2" name="Rectangle 1">
            <a:extLst>
              <a:ext uri="{FF2B5EF4-FFF2-40B4-BE49-F238E27FC236}">
                <a16:creationId xmlns:a16="http://schemas.microsoft.com/office/drawing/2014/main" id="{BEC9C14B-A2DC-20F2-3D38-A2181A1CC746}"/>
              </a:ext>
            </a:extLst>
          </xdr:cNvPr>
          <xdr:cNvSpPr/>
        </xdr:nvSpPr>
        <xdr:spPr>
          <a:xfrm>
            <a:off x="11906" y="0"/>
            <a:ext cx="16944975" cy="2571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F6B663F7-B3CC-21A6-31DA-E5952A0892D0}"/>
              </a:ext>
            </a:extLst>
          </xdr:cNvPr>
          <xdr:cNvSpPr txBox="1"/>
        </xdr:nvSpPr>
        <xdr:spPr>
          <a:xfrm>
            <a:off x="238125" y="0"/>
            <a:ext cx="964406" cy="22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VMX</a:t>
            </a:r>
            <a:r>
              <a:rPr lang="en-US" sz="1200" b="1" baseline="0">
                <a:solidFill>
                  <a:schemeClr val="bg1"/>
                </a:solidFill>
              </a:rPr>
              <a:t> store</a:t>
            </a:r>
            <a:endParaRPr lang="en-US" sz="1200" b="1">
              <a:solidFill>
                <a:schemeClr val="bg1"/>
              </a:solidFill>
            </a:endParaRPr>
          </a:p>
        </xdr:txBody>
      </xdr:sp>
      <xdr:pic>
        <xdr:nvPicPr>
          <xdr:cNvPr id="5" name="Picture 4">
            <a:extLst>
              <a:ext uri="{FF2B5EF4-FFF2-40B4-BE49-F238E27FC236}">
                <a16:creationId xmlns:a16="http://schemas.microsoft.com/office/drawing/2014/main" id="{8DF01118-2A34-237D-C595-626AFA1F8BC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2"/>
            <a:ext cx="285748" cy="284160"/>
          </a:xfrm>
          <a:prstGeom prst="rect">
            <a:avLst/>
          </a:prstGeom>
        </xdr:spPr>
      </xdr:pic>
      <xdr:sp macro="" textlink="">
        <xdr:nvSpPr>
          <xdr:cNvPr id="6" name="TextBox 5">
            <a:hlinkClick xmlns:r="http://schemas.openxmlformats.org/officeDocument/2006/relationships" r:id="rId3"/>
            <a:extLst>
              <a:ext uri="{FF2B5EF4-FFF2-40B4-BE49-F238E27FC236}">
                <a16:creationId xmlns:a16="http://schemas.microsoft.com/office/drawing/2014/main" id="{D15072A6-BC1D-4FD9-B165-17B357F00FA5}"/>
              </a:ext>
            </a:extLst>
          </xdr:cNvPr>
          <xdr:cNvSpPr txBox="1"/>
        </xdr:nvSpPr>
        <xdr:spPr>
          <a:xfrm>
            <a:off x="15166180" y="0"/>
            <a:ext cx="964406"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About</a:t>
            </a:r>
          </a:p>
        </xdr:txBody>
      </xdr:sp>
      <xdr:sp macro="" textlink="">
        <xdr:nvSpPr>
          <xdr:cNvPr id="7" name="TextBox 6">
            <a:hlinkClick xmlns:r="http://schemas.openxmlformats.org/officeDocument/2006/relationships" r:id="rId4"/>
            <a:extLst>
              <a:ext uri="{FF2B5EF4-FFF2-40B4-BE49-F238E27FC236}">
                <a16:creationId xmlns:a16="http://schemas.microsoft.com/office/drawing/2014/main" id="{D35247AD-070E-4059-A4FB-630F34E98805}"/>
              </a:ext>
            </a:extLst>
          </xdr:cNvPr>
          <xdr:cNvSpPr txBox="1"/>
        </xdr:nvSpPr>
        <xdr:spPr>
          <a:xfrm>
            <a:off x="14085891" y="0"/>
            <a:ext cx="7560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Products			</a:t>
            </a:r>
          </a:p>
        </xdr:txBody>
      </xdr:sp>
      <xdr:sp macro="" textlink="">
        <xdr:nvSpPr>
          <xdr:cNvPr id="8" name="TextBox 7">
            <a:hlinkClick xmlns:r="http://schemas.openxmlformats.org/officeDocument/2006/relationships" r:id="rId4"/>
            <a:extLst>
              <a:ext uri="{FF2B5EF4-FFF2-40B4-BE49-F238E27FC236}">
                <a16:creationId xmlns:a16="http://schemas.microsoft.com/office/drawing/2014/main" id="{23B94002-2493-4CA5-8946-76BCC79D0F54}"/>
              </a:ext>
            </a:extLst>
          </xdr:cNvPr>
          <xdr:cNvSpPr txBox="1"/>
        </xdr:nvSpPr>
        <xdr:spPr>
          <a:xfrm>
            <a:off x="12891289" y="9525"/>
            <a:ext cx="1273969" cy="21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Partners</a:t>
            </a:r>
          </a:p>
          <a:p>
            <a:r>
              <a:rPr lang="en-US" sz="1200" b="1">
                <a:solidFill>
                  <a:schemeClr val="bg1"/>
                </a:solidFill>
              </a:rPr>
              <a:t>			</a:t>
            </a:r>
          </a:p>
        </xdr:txBody>
      </xdr:sp>
      <xdr:sp macro="" textlink="">
        <xdr:nvSpPr>
          <xdr:cNvPr id="9" name="TextBox 8">
            <a:hlinkClick xmlns:r="http://schemas.openxmlformats.org/officeDocument/2006/relationships" r:id="rId5"/>
            <a:extLst>
              <a:ext uri="{FF2B5EF4-FFF2-40B4-BE49-F238E27FC236}">
                <a16:creationId xmlns:a16="http://schemas.microsoft.com/office/drawing/2014/main" id="{DE8054A8-335A-49C9-A1D1-FEB2CEBDAA85}"/>
              </a:ext>
            </a:extLst>
          </xdr:cNvPr>
          <xdr:cNvSpPr txBox="1"/>
        </xdr:nvSpPr>
        <xdr:spPr>
          <a:xfrm>
            <a:off x="11846718" y="11906"/>
            <a:ext cx="62388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Menu			</a:t>
            </a:r>
          </a:p>
        </xdr:txBody>
      </xdr:sp>
    </xdr:grpSp>
    <xdr:clientData/>
  </xdr:twoCellAnchor>
  <xdr:twoCellAnchor>
    <xdr:from>
      <xdr:col>0</xdr:col>
      <xdr:colOff>323344</xdr:colOff>
      <xdr:row>4</xdr:row>
      <xdr:rowOff>26453</xdr:rowOff>
    </xdr:from>
    <xdr:to>
      <xdr:col>3</xdr:col>
      <xdr:colOff>71438</xdr:colOff>
      <xdr:row>8</xdr:row>
      <xdr:rowOff>47622</xdr:rowOff>
    </xdr:to>
    <xdr:grpSp>
      <xdr:nvGrpSpPr>
        <xdr:cNvPr id="18" name="Group 17">
          <a:extLst>
            <a:ext uri="{FF2B5EF4-FFF2-40B4-BE49-F238E27FC236}">
              <a16:creationId xmlns:a16="http://schemas.microsoft.com/office/drawing/2014/main" id="{9AA9744A-58EE-81F4-44FC-A48FDD7A1DB4}"/>
            </a:ext>
          </a:extLst>
        </xdr:cNvPr>
        <xdr:cNvGrpSpPr/>
      </xdr:nvGrpSpPr>
      <xdr:grpSpPr>
        <a:xfrm>
          <a:off x="323344" y="788453"/>
          <a:ext cx="1569750" cy="783169"/>
          <a:chOff x="323344" y="383643"/>
          <a:chExt cx="1569750" cy="783169"/>
        </a:xfrm>
      </xdr:grpSpPr>
      <xdr:grpSp>
        <xdr:nvGrpSpPr>
          <xdr:cNvPr id="11" name="Group 10">
            <a:extLst>
              <a:ext uri="{FF2B5EF4-FFF2-40B4-BE49-F238E27FC236}">
                <a16:creationId xmlns:a16="http://schemas.microsoft.com/office/drawing/2014/main" id="{198CDE5C-8A6C-46BE-9F2C-51C6346BBAB8}"/>
              </a:ext>
            </a:extLst>
          </xdr:cNvPr>
          <xdr:cNvGrpSpPr>
            <a:grpSpLocks noChangeAspect="1"/>
          </xdr:cNvGrpSpPr>
        </xdr:nvGrpSpPr>
        <xdr:grpSpPr>
          <a:xfrm>
            <a:off x="323344" y="383643"/>
            <a:ext cx="1569750" cy="628391"/>
            <a:chOff x="227138" y="664363"/>
            <a:chExt cx="1583025" cy="716886"/>
          </a:xfrm>
        </xdr:grpSpPr>
        <xdr:sp macro="" textlink="">
          <xdr:nvSpPr>
            <xdr:cNvPr id="12" name="Rectangle: Rounded Corners 11">
              <a:extLst>
                <a:ext uri="{FF2B5EF4-FFF2-40B4-BE49-F238E27FC236}">
                  <a16:creationId xmlns:a16="http://schemas.microsoft.com/office/drawing/2014/main" id="{FD8EB6D6-8A67-7319-E0F3-A7E453C087E2}"/>
                </a:ext>
              </a:extLst>
            </xdr:cNvPr>
            <xdr:cNvSpPr/>
          </xdr:nvSpPr>
          <xdr:spPr>
            <a:xfrm>
              <a:off x="345317" y="1031998"/>
              <a:ext cx="1164673" cy="349251"/>
            </a:xfrm>
            <a:prstGeom prst="roundRect">
              <a:avLst>
                <a:gd name="adj" fmla="val 0"/>
              </a:avLst>
            </a:prstGeom>
            <a:gradFill flip="none" rotWithShape="1">
              <a:gsLst>
                <a:gs pos="0">
                  <a:srgbClr val="194AFE">
                    <a:shade val="30000"/>
                    <a:satMod val="115000"/>
                  </a:srgbClr>
                </a:gs>
                <a:gs pos="50000">
                  <a:srgbClr val="194AFE">
                    <a:shade val="67500"/>
                    <a:satMod val="115000"/>
                  </a:srgbClr>
                </a:gs>
                <a:gs pos="100000">
                  <a:srgbClr val="194AFE">
                    <a:shade val="100000"/>
                    <a:satMod val="115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77FA736B-C14E-3AC5-D685-EA89FDC046FC}"/>
                </a:ext>
              </a:extLst>
            </xdr:cNvPr>
            <xdr:cNvSpPr txBox="1"/>
          </xdr:nvSpPr>
          <xdr:spPr>
            <a:xfrm>
              <a:off x="227138" y="664363"/>
              <a:ext cx="1583025" cy="309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a:solidFill>
                    <a:schemeClr val="bg1">
                      <a:lumMod val="65000"/>
                    </a:schemeClr>
                  </a:solidFill>
                </a:rPr>
                <a:t>Total</a:t>
              </a:r>
              <a:r>
                <a:rPr lang="en-US" sz="1500" b="0" baseline="0">
                  <a:solidFill>
                    <a:schemeClr val="bg1">
                      <a:lumMod val="65000"/>
                    </a:schemeClr>
                  </a:solidFill>
                </a:rPr>
                <a:t> registered</a:t>
              </a:r>
              <a:endParaRPr lang="en-US" sz="1500" b="0">
                <a:solidFill>
                  <a:schemeClr val="bg1">
                    <a:lumMod val="65000"/>
                  </a:schemeClr>
                </a:solidFill>
              </a:endParaRPr>
            </a:p>
          </xdr:txBody>
        </xdr:sp>
      </xdr:grpSp>
      <xdr:sp macro="" textlink="customers_data!$L$2">
        <xdr:nvSpPr>
          <xdr:cNvPr id="16" name="TextBox 15">
            <a:extLst>
              <a:ext uri="{FF2B5EF4-FFF2-40B4-BE49-F238E27FC236}">
                <a16:creationId xmlns:a16="http://schemas.microsoft.com/office/drawing/2014/main" id="{6455FD2C-FE04-22D7-EB18-B154B93F97A3}"/>
              </a:ext>
            </a:extLst>
          </xdr:cNvPr>
          <xdr:cNvSpPr txBox="1"/>
        </xdr:nvSpPr>
        <xdr:spPr>
          <a:xfrm>
            <a:off x="438546" y="690562"/>
            <a:ext cx="116681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FEBEDE-68B2-41FE-BD99-EA35D207EE65}" type="TxLink">
              <a:rPr lang="en-US" sz="1400" b="1" i="0" u="none" strike="noStrike">
                <a:solidFill>
                  <a:schemeClr val="bg1"/>
                </a:solidFill>
                <a:latin typeface="Calibri"/>
                <a:ea typeface="Calibri"/>
                <a:cs typeface="Calibri"/>
              </a:rPr>
              <a:pPr algn="ctr"/>
              <a:t>1400</a:t>
            </a:fld>
            <a:endParaRPr lang="en-US" sz="1400" b="1" i="0">
              <a:solidFill>
                <a:schemeClr val="bg1"/>
              </a:solidFill>
            </a:endParaRPr>
          </a:p>
        </xdr:txBody>
      </xdr:sp>
    </xdr:grpSp>
    <xdr:clientData/>
  </xdr:twoCellAnchor>
  <xdr:twoCellAnchor>
    <xdr:from>
      <xdr:col>0</xdr:col>
      <xdr:colOff>547687</xdr:colOff>
      <xdr:row>2</xdr:row>
      <xdr:rowOff>47625</xdr:rowOff>
    </xdr:from>
    <xdr:to>
      <xdr:col>2</xdr:col>
      <xdr:colOff>285749</xdr:colOff>
      <xdr:row>3</xdr:row>
      <xdr:rowOff>71437</xdr:rowOff>
    </xdr:to>
    <xdr:sp macro="" textlink="">
      <xdr:nvSpPr>
        <xdr:cNvPr id="20" name="Rectangle: Rounded Corners 19">
          <a:extLst>
            <a:ext uri="{FF2B5EF4-FFF2-40B4-BE49-F238E27FC236}">
              <a16:creationId xmlns:a16="http://schemas.microsoft.com/office/drawing/2014/main" id="{28C2DEA1-187D-0F3F-0F70-B4DEE2898D63}"/>
            </a:ext>
          </a:extLst>
        </xdr:cNvPr>
        <xdr:cNvSpPr/>
      </xdr:nvSpPr>
      <xdr:spPr>
        <a:xfrm>
          <a:off x="547687" y="428625"/>
          <a:ext cx="952500" cy="214312"/>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500063</xdr:colOff>
      <xdr:row>2</xdr:row>
      <xdr:rowOff>0</xdr:rowOff>
    </xdr:from>
    <xdr:to>
      <xdr:col>2</xdr:col>
      <xdr:colOff>404812</xdr:colOff>
      <xdr:row>3</xdr:row>
      <xdr:rowOff>71437</xdr:rowOff>
    </xdr:to>
    <xdr:sp macro="" textlink="">
      <xdr:nvSpPr>
        <xdr:cNvPr id="19" name="TextBox 18">
          <a:extLst>
            <a:ext uri="{FF2B5EF4-FFF2-40B4-BE49-F238E27FC236}">
              <a16:creationId xmlns:a16="http://schemas.microsoft.com/office/drawing/2014/main" id="{B358D46B-6665-4553-9AF5-4A86BCC40F60}"/>
            </a:ext>
          </a:extLst>
        </xdr:cNvPr>
        <xdr:cNvSpPr txBox="1"/>
      </xdr:nvSpPr>
      <xdr:spPr>
        <a:xfrm>
          <a:off x="500063" y="381000"/>
          <a:ext cx="1119187"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lumMod val="65000"/>
                </a:schemeClr>
              </a:solidFill>
            </a:rPr>
            <a:t>STATISTICS</a:t>
          </a:r>
        </a:p>
      </xdr:txBody>
    </xdr:sp>
    <xdr:clientData/>
  </xdr:twoCellAnchor>
  <xdr:twoCellAnchor>
    <xdr:from>
      <xdr:col>3</xdr:col>
      <xdr:colOff>140493</xdr:colOff>
      <xdr:row>3</xdr:row>
      <xdr:rowOff>71437</xdr:rowOff>
    </xdr:from>
    <xdr:to>
      <xdr:col>4</xdr:col>
      <xdr:colOff>319087</xdr:colOff>
      <xdr:row>8</xdr:row>
      <xdr:rowOff>78581</xdr:rowOff>
    </xdr:to>
    <xdr:grpSp>
      <xdr:nvGrpSpPr>
        <xdr:cNvPr id="30" name="Group 29">
          <a:extLst>
            <a:ext uri="{FF2B5EF4-FFF2-40B4-BE49-F238E27FC236}">
              <a16:creationId xmlns:a16="http://schemas.microsoft.com/office/drawing/2014/main" id="{A681175D-E95F-F8FD-2521-3B41D4F5BF49}"/>
            </a:ext>
          </a:extLst>
        </xdr:cNvPr>
        <xdr:cNvGrpSpPr/>
      </xdr:nvGrpSpPr>
      <xdr:grpSpPr>
        <a:xfrm>
          <a:off x="1962149" y="642937"/>
          <a:ext cx="785813" cy="959644"/>
          <a:chOff x="2081212" y="785812"/>
          <a:chExt cx="785813" cy="959644"/>
        </a:xfrm>
      </xdr:grpSpPr>
      <xdr:grpSp>
        <xdr:nvGrpSpPr>
          <xdr:cNvPr id="23" name="Group 22">
            <a:extLst>
              <a:ext uri="{FF2B5EF4-FFF2-40B4-BE49-F238E27FC236}">
                <a16:creationId xmlns:a16="http://schemas.microsoft.com/office/drawing/2014/main" id="{370145F1-C7FC-A8CF-CB23-7650D16A6B11}"/>
              </a:ext>
            </a:extLst>
          </xdr:cNvPr>
          <xdr:cNvGrpSpPr/>
        </xdr:nvGrpSpPr>
        <xdr:grpSpPr>
          <a:xfrm>
            <a:off x="2081212" y="785812"/>
            <a:ext cx="785813" cy="285750"/>
            <a:chOff x="2071687" y="785812"/>
            <a:chExt cx="785813" cy="285750"/>
          </a:xfrm>
        </xdr:grpSpPr>
        <xdr:sp macro="" textlink="customers_data!$N$4">
          <xdr:nvSpPr>
            <xdr:cNvPr id="21" name="Flowchart: Terminator 20">
              <a:extLst>
                <a:ext uri="{FF2B5EF4-FFF2-40B4-BE49-F238E27FC236}">
                  <a16:creationId xmlns:a16="http://schemas.microsoft.com/office/drawing/2014/main" id="{44FD23F7-0B3F-094A-7044-ED08BD28373D}"/>
                </a:ext>
              </a:extLst>
            </xdr:cNvPr>
            <xdr:cNvSpPr/>
          </xdr:nvSpPr>
          <xdr:spPr>
            <a:xfrm>
              <a:off x="2071687" y="785812"/>
              <a:ext cx="785813" cy="285750"/>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6B14A-6452-47EB-8686-3F30DACD35F1}" type="TxLink">
                <a:rPr lang="en-US" sz="1100" b="0" i="0" u="none" strike="noStrike">
                  <a:solidFill>
                    <a:srgbClr val="000000"/>
                  </a:solidFill>
                  <a:latin typeface="Calibri"/>
                  <a:ea typeface="Calibri"/>
                  <a:cs typeface="Calibri"/>
                </a:rPr>
                <a:pPr algn="l"/>
                <a:t>31%</a:t>
              </a:fld>
              <a:endParaRPr lang="en-US" sz="1100"/>
            </a:p>
          </xdr:txBody>
        </xdr:sp>
        <xdr:sp macro="" textlink="customers_data!$N$4">
          <xdr:nvSpPr>
            <xdr:cNvPr id="22" name="TextBox 21">
              <a:extLst>
                <a:ext uri="{FF2B5EF4-FFF2-40B4-BE49-F238E27FC236}">
                  <a16:creationId xmlns:a16="http://schemas.microsoft.com/office/drawing/2014/main" id="{BA110A4D-9D59-9196-BE96-867FE8712518}"/>
                </a:ext>
              </a:extLst>
            </xdr:cNvPr>
            <xdr:cNvSpPr txBox="1"/>
          </xdr:nvSpPr>
          <xdr:spPr>
            <a:xfrm>
              <a:off x="2262186" y="809626"/>
              <a:ext cx="54768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F2DD0D-B1B2-48E8-9436-D98FE0EB258D}" type="TxLink">
                <a:rPr lang="en-US" sz="1100" b="0" i="0" u="none" strike="noStrike">
                  <a:solidFill>
                    <a:schemeClr val="bg1"/>
                  </a:solidFill>
                  <a:latin typeface="Calibri"/>
                  <a:ea typeface="Calibri"/>
                  <a:cs typeface="Calibri"/>
                </a:rPr>
                <a:pPr/>
                <a:t>31%</a:t>
              </a:fld>
              <a:endParaRPr lang="en-US" sz="1100">
                <a:solidFill>
                  <a:schemeClr val="bg1"/>
                </a:solidFill>
              </a:endParaRPr>
            </a:p>
          </xdr:txBody>
        </xdr:sp>
      </xdr:grpSp>
      <xdr:grpSp>
        <xdr:nvGrpSpPr>
          <xdr:cNvPr id="24" name="Group 23">
            <a:extLst>
              <a:ext uri="{FF2B5EF4-FFF2-40B4-BE49-F238E27FC236}">
                <a16:creationId xmlns:a16="http://schemas.microsoft.com/office/drawing/2014/main" id="{C4D9A7EE-1BBA-0E65-8EE2-7DA35210FE36}"/>
              </a:ext>
            </a:extLst>
          </xdr:cNvPr>
          <xdr:cNvGrpSpPr/>
        </xdr:nvGrpSpPr>
        <xdr:grpSpPr>
          <a:xfrm>
            <a:off x="2081212" y="1122759"/>
            <a:ext cx="785813" cy="285750"/>
            <a:chOff x="2071687" y="785812"/>
            <a:chExt cx="785813" cy="285750"/>
          </a:xfrm>
        </xdr:grpSpPr>
        <xdr:sp macro="" textlink="customers_data!$N$4">
          <xdr:nvSpPr>
            <xdr:cNvPr id="25" name="Flowchart: Terminator 24">
              <a:extLst>
                <a:ext uri="{FF2B5EF4-FFF2-40B4-BE49-F238E27FC236}">
                  <a16:creationId xmlns:a16="http://schemas.microsoft.com/office/drawing/2014/main" id="{05AFF197-6625-45CA-024A-479283B5A3E9}"/>
                </a:ext>
              </a:extLst>
            </xdr:cNvPr>
            <xdr:cNvSpPr/>
          </xdr:nvSpPr>
          <xdr:spPr>
            <a:xfrm>
              <a:off x="2071687" y="785812"/>
              <a:ext cx="785813" cy="285750"/>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6B14A-6452-47EB-8686-3F30DACD35F1}" type="TxLink">
                <a:rPr lang="en-US" sz="1100" b="0" i="0" u="none" strike="noStrike">
                  <a:solidFill>
                    <a:srgbClr val="000000"/>
                  </a:solidFill>
                  <a:latin typeface="Calibri"/>
                  <a:ea typeface="Calibri"/>
                  <a:cs typeface="Calibri"/>
                </a:rPr>
                <a:pPr algn="l"/>
                <a:t>31%</a:t>
              </a:fld>
              <a:endParaRPr lang="en-US" sz="1100"/>
            </a:p>
          </xdr:txBody>
        </xdr:sp>
        <xdr:sp macro="" textlink="customers_data!$N$5">
          <xdr:nvSpPr>
            <xdr:cNvPr id="26" name="TextBox 25">
              <a:extLst>
                <a:ext uri="{FF2B5EF4-FFF2-40B4-BE49-F238E27FC236}">
                  <a16:creationId xmlns:a16="http://schemas.microsoft.com/office/drawing/2014/main" id="{4B7B5B13-6564-BBBC-A401-C8E98910CEB1}"/>
                </a:ext>
              </a:extLst>
            </xdr:cNvPr>
            <xdr:cNvSpPr txBox="1"/>
          </xdr:nvSpPr>
          <xdr:spPr>
            <a:xfrm>
              <a:off x="2262186" y="809626"/>
              <a:ext cx="54768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E5D08-92A9-45C5-876C-68EC1122EE64}" type="TxLink">
                <a:rPr lang="en-US" sz="1100" b="0" i="0" u="none" strike="noStrike">
                  <a:solidFill>
                    <a:schemeClr val="bg1"/>
                  </a:solidFill>
                  <a:latin typeface="Calibri"/>
                  <a:ea typeface="Calibri"/>
                  <a:cs typeface="Calibri"/>
                </a:rPr>
                <a:pPr/>
                <a:t>35%</a:t>
              </a:fld>
              <a:endParaRPr lang="en-US" sz="1100">
                <a:solidFill>
                  <a:schemeClr val="bg1"/>
                </a:solidFill>
              </a:endParaRPr>
            </a:p>
          </xdr:txBody>
        </xdr:sp>
      </xdr:grpSp>
      <xdr:grpSp>
        <xdr:nvGrpSpPr>
          <xdr:cNvPr id="27" name="Group 26">
            <a:extLst>
              <a:ext uri="{FF2B5EF4-FFF2-40B4-BE49-F238E27FC236}">
                <a16:creationId xmlns:a16="http://schemas.microsoft.com/office/drawing/2014/main" id="{1FA9414C-8274-F8F7-4178-FC0A4AB49688}"/>
              </a:ext>
            </a:extLst>
          </xdr:cNvPr>
          <xdr:cNvGrpSpPr/>
        </xdr:nvGrpSpPr>
        <xdr:grpSpPr>
          <a:xfrm>
            <a:off x="2081212" y="1459706"/>
            <a:ext cx="785813" cy="285750"/>
            <a:chOff x="2071687" y="785812"/>
            <a:chExt cx="785813" cy="285750"/>
          </a:xfrm>
        </xdr:grpSpPr>
        <xdr:sp macro="" textlink="customers_data!$N$4">
          <xdr:nvSpPr>
            <xdr:cNvPr id="28" name="Flowchart: Terminator 27">
              <a:extLst>
                <a:ext uri="{FF2B5EF4-FFF2-40B4-BE49-F238E27FC236}">
                  <a16:creationId xmlns:a16="http://schemas.microsoft.com/office/drawing/2014/main" id="{46A0F967-5A2A-75D0-5988-D8E7CE7646F0}"/>
                </a:ext>
              </a:extLst>
            </xdr:cNvPr>
            <xdr:cNvSpPr/>
          </xdr:nvSpPr>
          <xdr:spPr>
            <a:xfrm>
              <a:off x="2071687" y="785812"/>
              <a:ext cx="785813" cy="285750"/>
            </a:xfrm>
            <a:prstGeom prst="flowChartTermina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6B14A-6452-47EB-8686-3F30DACD35F1}" type="TxLink">
                <a:rPr lang="en-US" sz="1100" b="0" i="0" u="none" strike="noStrike">
                  <a:solidFill>
                    <a:srgbClr val="000000"/>
                  </a:solidFill>
                  <a:latin typeface="Calibri"/>
                  <a:ea typeface="Calibri"/>
                  <a:cs typeface="Calibri"/>
                </a:rPr>
                <a:pPr algn="l"/>
                <a:t>31%</a:t>
              </a:fld>
              <a:endParaRPr lang="en-US" sz="1100"/>
            </a:p>
          </xdr:txBody>
        </xdr:sp>
        <xdr:sp macro="" textlink="customers_data!$N$6">
          <xdr:nvSpPr>
            <xdr:cNvPr id="29" name="TextBox 28">
              <a:extLst>
                <a:ext uri="{FF2B5EF4-FFF2-40B4-BE49-F238E27FC236}">
                  <a16:creationId xmlns:a16="http://schemas.microsoft.com/office/drawing/2014/main" id="{BB72B543-F37C-9CEB-E225-61C6D7BEE2BE}"/>
                </a:ext>
              </a:extLst>
            </xdr:cNvPr>
            <xdr:cNvSpPr txBox="1"/>
          </xdr:nvSpPr>
          <xdr:spPr>
            <a:xfrm>
              <a:off x="2262186" y="809626"/>
              <a:ext cx="54768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2D7D70-CBF5-4939-A23D-897528D40792}" type="TxLink">
                <a:rPr lang="en-US" sz="1100" b="0" i="0" u="none" strike="noStrike">
                  <a:solidFill>
                    <a:schemeClr val="bg1"/>
                  </a:solidFill>
                  <a:latin typeface="Calibri"/>
                  <a:ea typeface="Calibri"/>
                  <a:cs typeface="Calibri"/>
                </a:rPr>
                <a:pPr/>
                <a:t>34%</a:t>
              </a:fld>
              <a:endParaRPr lang="en-US" sz="1100">
                <a:solidFill>
                  <a:schemeClr val="bg1"/>
                </a:solidFill>
              </a:endParaRPr>
            </a:p>
          </xdr:txBody>
        </xdr:sp>
      </xdr:grpSp>
    </xdr:grpSp>
    <xdr:clientData/>
  </xdr:twoCellAnchor>
  <xdr:twoCellAnchor>
    <xdr:from>
      <xdr:col>19</xdr:col>
      <xdr:colOff>259403</xdr:colOff>
      <xdr:row>1</xdr:row>
      <xdr:rowOff>30606</xdr:rowOff>
    </xdr:from>
    <xdr:to>
      <xdr:col>20</xdr:col>
      <xdr:colOff>333983</xdr:colOff>
      <xdr:row>1</xdr:row>
      <xdr:rowOff>66606</xdr:rowOff>
    </xdr:to>
    <xdr:sp macro="" textlink="">
      <xdr:nvSpPr>
        <xdr:cNvPr id="31" name="Minus Sign 30">
          <a:extLst>
            <a:ext uri="{FF2B5EF4-FFF2-40B4-BE49-F238E27FC236}">
              <a16:creationId xmlns:a16="http://schemas.microsoft.com/office/drawing/2014/main" id="{BDF17BD6-3556-4052-82A1-10A797CC5FBD}"/>
            </a:ext>
          </a:extLst>
        </xdr:cNvPr>
        <xdr:cNvSpPr/>
      </xdr:nvSpPr>
      <xdr:spPr>
        <a:xfrm>
          <a:off x="11838372" y="220203"/>
          <a:ext cx="684000" cy="36000"/>
        </a:xfrm>
        <a:prstGeom prst="mathMinus">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261939</xdr:colOff>
      <xdr:row>2</xdr:row>
      <xdr:rowOff>95252</xdr:rowOff>
    </xdr:from>
    <xdr:to>
      <xdr:col>4</xdr:col>
      <xdr:colOff>595314</xdr:colOff>
      <xdr:row>4</xdr:row>
      <xdr:rowOff>119065</xdr:rowOff>
    </xdr:to>
    <xdr:sp macro="" textlink="">
      <xdr:nvSpPr>
        <xdr:cNvPr id="32" name="TextBox 31">
          <a:extLst>
            <a:ext uri="{FF2B5EF4-FFF2-40B4-BE49-F238E27FC236}">
              <a16:creationId xmlns:a16="http://schemas.microsoft.com/office/drawing/2014/main" id="{A32B2A30-6935-8855-0E26-4834D40BC714}"/>
            </a:ext>
          </a:extLst>
        </xdr:cNvPr>
        <xdr:cNvSpPr txBox="1"/>
      </xdr:nvSpPr>
      <xdr:spPr>
        <a:xfrm>
          <a:off x="2690814" y="476252"/>
          <a:ext cx="333375"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accent1">
                  <a:lumMod val="50000"/>
                </a:schemeClr>
              </a:solidFill>
              <a:effectLst/>
              <a:latin typeface="+mn-lt"/>
              <a:ea typeface="+mn-ea"/>
              <a:cs typeface="+mn-cs"/>
            </a:rPr>
            <a:t>♂</a:t>
          </a:r>
          <a:endParaRPr lang="en-US" sz="900">
            <a:solidFill>
              <a:schemeClr val="accent1">
                <a:lumMod val="50000"/>
              </a:schemeClr>
            </a:solidFill>
          </a:endParaRPr>
        </a:p>
      </xdr:txBody>
    </xdr:sp>
    <xdr:clientData/>
  </xdr:twoCellAnchor>
  <xdr:twoCellAnchor>
    <xdr:from>
      <xdr:col>4</xdr:col>
      <xdr:colOff>271462</xdr:colOff>
      <xdr:row>4</xdr:row>
      <xdr:rowOff>69056</xdr:rowOff>
    </xdr:from>
    <xdr:to>
      <xdr:col>4</xdr:col>
      <xdr:colOff>595313</xdr:colOff>
      <xdr:row>6</xdr:row>
      <xdr:rowOff>119063</xdr:rowOff>
    </xdr:to>
    <xdr:sp macro="" textlink="">
      <xdr:nvSpPr>
        <xdr:cNvPr id="33" name="TextBox 32">
          <a:extLst>
            <a:ext uri="{FF2B5EF4-FFF2-40B4-BE49-F238E27FC236}">
              <a16:creationId xmlns:a16="http://schemas.microsoft.com/office/drawing/2014/main" id="{0B57666D-BDB0-E0B2-03AE-87977C97311F}"/>
            </a:ext>
          </a:extLst>
        </xdr:cNvPr>
        <xdr:cNvSpPr txBox="1"/>
      </xdr:nvSpPr>
      <xdr:spPr>
        <a:xfrm>
          <a:off x="2700337" y="831056"/>
          <a:ext cx="323851" cy="43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rgbClr val="C00000"/>
              </a:solidFill>
              <a:effectLst/>
              <a:latin typeface="+mn-lt"/>
              <a:ea typeface="+mn-ea"/>
              <a:cs typeface="+mn-cs"/>
            </a:rPr>
            <a:t>♀</a:t>
          </a:r>
          <a:endParaRPr lang="en-US" sz="1600">
            <a:solidFill>
              <a:srgbClr val="C00000"/>
            </a:solidFill>
          </a:endParaRPr>
        </a:p>
      </xdr:txBody>
    </xdr:sp>
    <xdr:clientData/>
  </xdr:twoCellAnchor>
  <xdr:twoCellAnchor>
    <xdr:from>
      <xdr:col>4</xdr:col>
      <xdr:colOff>185740</xdr:colOff>
      <xdr:row>6</xdr:row>
      <xdr:rowOff>114298</xdr:rowOff>
    </xdr:from>
    <xdr:to>
      <xdr:col>5</xdr:col>
      <xdr:colOff>23815</xdr:colOff>
      <xdr:row>8</xdr:row>
      <xdr:rowOff>154780</xdr:rowOff>
    </xdr:to>
    <xdr:sp macro="" textlink="">
      <xdr:nvSpPr>
        <xdr:cNvPr id="34" name="TextBox 33">
          <a:extLst>
            <a:ext uri="{FF2B5EF4-FFF2-40B4-BE49-F238E27FC236}">
              <a16:creationId xmlns:a16="http://schemas.microsoft.com/office/drawing/2014/main" id="{9BA55931-0CB5-41F3-628C-7051A5A52312}"/>
            </a:ext>
          </a:extLst>
        </xdr:cNvPr>
        <xdr:cNvSpPr txBox="1"/>
      </xdr:nvSpPr>
      <xdr:spPr>
        <a:xfrm rot="16200000">
          <a:off x="2626521" y="1245392"/>
          <a:ext cx="421482" cy="44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a:solidFill>
                <a:schemeClr val="bg1"/>
              </a:solidFill>
              <a:effectLst/>
              <a:latin typeface="+mn-lt"/>
              <a:ea typeface="+mn-ea"/>
              <a:cs typeface="+mn-cs"/>
            </a:rPr>
            <a:t>⚩</a:t>
          </a:r>
          <a:endParaRPr lang="en-US" sz="4000">
            <a:solidFill>
              <a:schemeClr val="bg1"/>
            </a:solidFill>
          </a:endParaRPr>
        </a:p>
      </xdr:txBody>
    </xdr:sp>
    <xdr:clientData/>
  </xdr:twoCellAnchor>
  <xdr:twoCellAnchor editAs="oneCell">
    <xdr:from>
      <xdr:col>0</xdr:col>
      <xdr:colOff>231376</xdr:colOff>
      <xdr:row>13</xdr:row>
      <xdr:rowOff>130981</xdr:rowOff>
    </xdr:from>
    <xdr:to>
      <xdr:col>2</xdr:col>
      <xdr:colOff>571500</xdr:colOff>
      <xdr:row>27</xdr:row>
      <xdr:rowOff>35719</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CFF6349A-B079-4EB6-9E7A-23CD24C9D26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1376" y="2607481"/>
              <a:ext cx="1554562" cy="2571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226219</xdr:colOff>
      <xdr:row>13</xdr:row>
      <xdr:rowOff>71437</xdr:rowOff>
    </xdr:from>
    <xdr:to>
      <xdr:col>2</xdr:col>
      <xdr:colOff>547686</xdr:colOff>
      <xdr:row>27</xdr:row>
      <xdr:rowOff>47625</xdr:rowOff>
    </xdr:to>
    <xdr:sp macro="" textlink="">
      <xdr:nvSpPr>
        <xdr:cNvPr id="15" name="Rectangle: Rounded Corners 14">
          <a:extLst>
            <a:ext uri="{FF2B5EF4-FFF2-40B4-BE49-F238E27FC236}">
              <a16:creationId xmlns:a16="http://schemas.microsoft.com/office/drawing/2014/main" id="{088ECDBB-728B-2552-5ECB-2410FA793AE5}"/>
            </a:ext>
          </a:extLst>
        </xdr:cNvPr>
        <xdr:cNvSpPr/>
      </xdr:nvSpPr>
      <xdr:spPr>
        <a:xfrm>
          <a:off x="226219" y="2547937"/>
          <a:ext cx="1535905" cy="2643188"/>
        </a:xfrm>
        <a:prstGeom prst="round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11</xdr:row>
      <xdr:rowOff>119064</xdr:rowOff>
    </xdr:from>
    <xdr:to>
      <xdr:col>2</xdr:col>
      <xdr:colOff>226218</xdr:colOff>
      <xdr:row>13</xdr:row>
      <xdr:rowOff>83346</xdr:rowOff>
    </xdr:to>
    <xdr:sp macro="" textlink="">
      <xdr:nvSpPr>
        <xdr:cNvPr id="10" name="TextBox 9">
          <a:extLst>
            <a:ext uri="{FF2B5EF4-FFF2-40B4-BE49-F238E27FC236}">
              <a16:creationId xmlns:a16="http://schemas.microsoft.com/office/drawing/2014/main" id="{252C1851-AC56-6445-FE15-8F3CC1076AA3}"/>
            </a:ext>
          </a:extLst>
        </xdr:cNvPr>
        <xdr:cNvSpPr txBox="1"/>
      </xdr:nvSpPr>
      <xdr:spPr>
        <a:xfrm>
          <a:off x="571500" y="2214564"/>
          <a:ext cx="869156" cy="34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REGIONS</a:t>
          </a:r>
        </a:p>
      </xdr:txBody>
    </xdr:sp>
    <xdr:clientData/>
  </xdr:twoCellAnchor>
  <xdr:twoCellAnchor>
    <xdr:from>
      <xdr:col>2</xdr:col>
      <xdr:colOff>500066</xdr:colOff>
      <xdr:row>13</xdr:row>
      <xdr:rowOff>119062</xdr:rowOff>
    </xdr:from>
    <xdr:to>
      <xdr:col>5</xdr:col>
      <xdr:colOff>107156</xdr:colOff>
      <xdr:row>27</xdr:row>
      <xdr:rowOff>35719</xdr:rowOff>
    </xdr:to>
    <xdr:graphicFrame macro="">
      <xdr:nvGraphicFramePr>
        <xdr:cNvPr id="36" name="Chart 35">
          <a:extLst>
            <a:ext uri="{FF2B5EF4-FFF2-40B4-BE49-F238E27FC236}">
              <a16:creationId xmlns:a16="http://schemas.microsoft.com/office/drawing/2014/main" id="{0DBF2F44-8402-4D02-82E2-A917E1BD3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500062</xdr:colOff>
      <xdr:row>0</xdr:row>
      <xdr:rowOff>47625</xdr:rowOff>
    </xdr:from>
    <xdr:to>
      <xdr:col>14</xdr:col>
      <xdr:colOff>416718</xdr:colOff>
      <xdr:row>1</xdr:row>
      <xdr:rowOff>83344</xdr:rowOff>
    </xdr:to>
    <xdr:sp macro="" textlink="customers_data!$K$8">
      <xdr:nvSpPr>
        <xdr:cNvPr id="38" name="TextBox 37">
          <a:extLst>
            <a:ext uri="{FF2B5EF4-FFF2-40B4-BE49-F238E27FC236}">
              <a16:creationId xmlns:a16="http://schemas.microsoft.com/office/drawing/2014/main" id="{0D376E0D-5D5B-F6D9-3E4B-DF2E67733A94}"/>
            </a:ext>
          </a:extLst>
        </xdr:cNvPr>
        <xdr:cNvSpPr txBox="1"/>
      </xdr:nvSpPr>
      <xdr:spPr>
        <a:xfrm>
          <a:off x="7179468" y="47625"/>
          <a:ext cx="1738313"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A794CB4-EF7E-48D0-AFD7-F4B73204327F}" type="TxLink">
            <a:rPr lang="en-US" sz="1100" b="1" i="1" u="none" strike="noStrike">
              <a:ln>
                <a:noFill/>
              </a:ln>
              <a:solidFill>
                <a:schemeClr val="bg1"/>
              </a:solidFill>
              <a:latin typeface="Calibri"/>
              <a:ea typeface="Calibri"/>
              <a:cs typeface="Calibri"/>
            </a:rPr>
            <a:pPr/>
            <a:t>Sunday, 5 July 2026</a:t>
          </a:fld>
          <a:endParaRPr lang="en-US" sz="1100" b="1" i="1">
            <a:ln>
              <a:noFill/>
            </a:ln>
            <a:solidFill>
              <a:schemeClr val="bg1"/>
            </a:solidFill>
          </a:endParaRPr>
        </a:p>
      </xdr:txBody>
    </xdr:sp>
    <xdr:clientData/>
  </xdr:twoCellAnchor>
  <xdr:twoCellAnchor>
    <xdr:from>
      <xdr:col>8</xdr:col>
      <xdr:colOff>285748</xdr:colOff>
      <xdr:row>6</xdr:row>
      <xdr:rowOff>35719</xdr:rowOff>
    </xdr:from>
    <xdr:to>
      <xdr:col>18</xdr:col>
      <xdr:colOff>59528</xdr:colOff>
      <xdr:row>30</xdr:row>
      <xdr:rowOff>119063</xdr:rowOff>
    </xdr:to>
    <xdr:grpSp>
      <xdr:nvGrpSpPr>
        <xdr:cNvPr id="50" name="Group 49">
          <a:extLst>
            <a:ext uri="{FF2B5EF4-FFF2-40B4-BE49-F238E27FC236}">
              <a16:creationId xmlns:a16="http://schemas.microsoft.com/office/drawing/2014/main" id="{7207B721-B332-0E0E-0709-45FCDAA70887}"/>
            </a:ext>
          </a:extLst>
        </xdr:cNvPr>
        <xdr:cNvGrpSpPr/>
      </xdr:nvGrpSpPr>
      <xdr:grpSpPr>
        <a:xfrm>
          <a:off x="5143498" y="1178719"/>
          <a:ext cx="5845968" cy="4655344"/>
          <a:chOff x="5869781" y="1012031"/>
          <a:chExt cx="4238625" cy="3523632"/>
        </a:xfrm>
      </xdr:grpSpPr>
      <xdr:graphicFrame macro="">
        <xdr:nvGraphicFramePr>
          <xdr:cNvPr id="39" name="Chart 38">
            <a:extLst>
              <a:ext uri="{FF2B5EF4-FFF2-40B4-BE49-F238E27FC236}">
                <a16:creationId xmlns:a16="http://schemas.microsoft.com/office/drawing/2014/main" id="{EECC21D4-0CE5-486F-AA62-60C369912A24}"/>
              </a:ext>
            </a:extLst>
          </xdr:cNvPr>
          <xdr:cNvGraphicFramePr>
            <a:graphicFrameLocks/>
          </xdr:cNvGraphicFramePr>
        </xdr:nvGraphicFramePr>
        <xdr:xfrm>
          <a:off x="5869781" y="1012031"/>
          <a:ext cx="4238625" cy="3523632"/>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49" name="Picture 48">
            <a:extLst>
              <a:ext uri="{FF2B5EF4-FFF2-40B4-BE49-F238E27FC236}">
                <a16:creationId xmlns:a16="http://schemas.microsoft.com/office/drawing/2014/main" id="{2BADDA27-4BD6-634B-5F3D-3FD71A392F51}"/>
              </a:ext>
            </a:extLst>
          </xdr:cNvPr>
          <xdr:cNvPicPr>
            <a:picLocks noChangeAspect="1"/>
          </xdr:cNvPicPr>
        </xdr:nvPicPr>
        <xdr:blipFill>
          <a:blip xmlns:r="http://schemas.openxmlformats.org/officeDocument/2006/relationships" r:embed="rId8"/>
          <a:stretch>
            <a:fillRect/>
          </a:stretch>
        </xdr:blipFill>
        <xdr:spPr>
          <a:xfrm>
            <a:off x="6883764" y="1788540"/>
            <a:ext cx="2214625" cy="1990127"/>
          </a:xfrm>
          <a:prstGeom prst="rect">
            <a:avLst/>
          </a:prstGeom>
        </xdr:spPr>
      </xdr:pic>
    </xdr:grpSp>
    <xdr:clientData/>
  </xdr:twoCellAnchor>
  <xdr:twoCellAnchor>
    <xdr:from>
      <xdr:col>12</xdr:col>
      <xdr:colOff>309563</xdr:colOff>
      <xdr:row>15</xdr:row>
      <xdr:rowOff>178595</xdr:rowOff>
    </xdr:from>
    <xdr:to>
      <xdr:col>14</xdr:col>
      <xdr:colOff>5054</xdr:colOff>
      <xdr:row>20</xdr:row>
      <xdr:rowOff>130968</xdr:rowOff>
    </xdr:to>
    <xdr:pic>
      <xdr:nvPicPr>
        <xdr:cNvPr id="51" name="Picture 50">
          <a:extLst>
            <a:ext uri="{FF2B5EF4-FFF2-40B4-BE49-F238E27FC236}">
              <a16:creationId xmlns:a16="http://schemas.microsoft.com/office/drawing/2014/main" id="{A8CDD3D3-8599-4BC5-A953-E305A0E245F6}"/>
            </a:ext>
          </a:extLst>
        </xdr:cNvPr>
        <xdr:cNvPicPr>
          <a:picLocks noChangeAspect="1"/>
        </xdr:cNvPicPr>
      </xdr:nvPicPr>
      <xdr:blipFill>
        <a:blip xmlns:r="http://schemas.openxmlformats.org/officeDocument/2006/relationships" r:embed="rId9" cstate="print">
          <a:duotone>
            <a:prstClr val="black"/>
            <a:schemeClr val="accent5">
              <a:tint val="45000"/>
              <a:satMod val="400000"/>
            </a:schemeClr>
          </a:duotone>
          <a:extLst>
            <a:ext uri="{BEBA8EAE-BF5A-486C-A8C5-ECC9F3942E4B}">
              <a14:imgProps xmlns:a14="http://schemas.microsoft.com/office/drawing/2010/main">
                <a14:imgLayer r:embed="rId2">
                  <a14:imgEffect>
                    <a14:backgroundRemoval t="10000" b="90000" l="10000" r="90000"/>
                  </a14:imgEffect>
                  <a14:imgEffect>
                    <a14:artisticFilmGrain/>
                  </a14:imgEffect>
                </a14:imgLayer>
              </a14:imgProps>
            </a:ext>
            <a:ext uri="{28A0092B-C50C-407E-A947-70E740481C1C}">
              <a14:useLocalDpi xmlns:a14="http://schemas.microsoft.com/office/drawing/2010/main" val="0"/>
            </a:ext>
          </a:extLst>
        </a:blip>
        <a:stretch>
          <a:fillRect/>
        </a:stretch>
      </xdr:blipFill>
      <xdr:spPr>
        <a:xfrm>
          <a:off x="7596188" y="3036095"/>
          <a:ext cx="909929" cy="904873"/>
        </a:xfrm>
        <a:prstGeom prst="rect">
          <a:avLst/>
        </a:prstGeom>
        <a:effectLst/>
      </xdr:spPr>
    </xdr:pic>
    <xdr:clientData/>
  </xdr:twoCellAnchor>
  <xdr:twoCellAnchor>
    <xdr:from>
      <xdr:col>3</xdr:col>
      <xdr:colOff>83342</xdr:colOff>
      <xdr:row>27</xdr:row>
      <xdr:rowOff>59531</xdr:rowOff>
    </xdr:from>
    <xdr:to>
      <xdr:col>4</xdr:col>
      <xdr:colOff>476248</xdr:colOff>
      <xdr:row>27</xdr:row>
      <xdr:rowOff>59531</xdr:rowOff>
    </xdr:to>
    <xdr:cxnSp macro="">
      <xdr:nvCxnSpPr>
        <xdr:cNvPr id="53" name="Straight Connector 52">
          <a:extLst>
            <a:ext uri="{FF2B5EF4-FFF2-40B4-BE49-F238E27FC236}">
              <a16:creationId xmlns:a16="http://schemas.microsoft.com/office/drawing/2014/main" id="{5EE90D3A-A9E8-43E0-825B-65A59560949E}"/>
            </a:ext>
          </a:extLst>
        </xdr:cNvPr>
        <xdr:cNvCxnSpPr/>
      </xdr:nvCxnSpPr>
      <xdr:spPr>
        <a:xfrm>
          <a:off x="1904998" y="5203031"/>
          <a:ext cx="1000125"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178593</xdr:colOff>
      <xdr:row>1</xdr:row>
      <xdr:rowOff>23812</xdr:rowOff>
    </xdr:from>
    <xdr:to>
      <xdr:col>2</xdr:col>
      <xdr:colOff>142874</xdr:colOff>
      <xdr:row>2</xdr:row>
      <xdr:rowOff>47625</xdr:rowOff>
    </xdr:to>
    <xdr:sp macro="" textlink="">
      <xdr:nvSpPr>
        <xdr:cNvPr id="40" name="TextBox 39">
          <a:extLst>
            <a:ext uri="{FF2B5EF4-FFF2-40B4-BE49-F238E27FC236}">
              <a16:creationId xmlns:a16="http://schemas.microsoft.com/office/drawing/2014/main" id="{D4DEE3AE-D81C-A4DD-45FB-8AECD45C9D34}"/>
            </a:ext>
          </a:extLst>
        </xdr:cNvPr>
        <xdr:cNvSpPr txBox="1"/>
      </xdr:nvSpPr>
      <xdr:spPr>
        <a:xfrm>
          <a:off x="785812" y="214312"/>
          <a:ext cx="571500"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a:solidFill>
                <a:schemeClr val="bg1">
                  <a:lumMod val="75000"/>
                </a:schemeClr>
              </a:solidFill>
            </a:rPr>
            <a:t>BETA</a:t>
          </a:r>
        </a:p>
      </xdr:txBody>
    </xdr:sp>
    <xdr:clientData/>
  </xdr:twoCellAnchor>
  <xdr:twoCellAnchor>
    <xdr:from>
      <xdr:col>11</xdr:col>
      <xdr:colOff>535781</xdr:colOff>
      <xdr:row>2</xdr:row>
      <xdr:rowOff>59530</xdr:rowOff>
    </xdr:from>
    <xdr:to>
      <xdr:col>13</xdr:col>
      <xdr:colOff>464346</xdr:colOff>
      <xdr:row>7</xdr:row>
      <xdr:rowOff>142875</xdr:rowOff>
    </xdr:to>
    <xdr:grpSp>
      <xdr:nvGrpSpPr>
        <xdr:cNvPr id="56" name="Group 55">
          <a:extLst>
            <a:ext uri="{FF2B5EF4-FFF2-40B4-BE49-F238E27FC236}">
              <a16:creationId xmlns:a16="http://schemas.microsoft.com/office/drawing/2014/main" id="{399B24A2-DF40-BD8A-9258-0E295F60D803}"/>
            </a:ext>
          </a:extLst>
        </xdr:cNvPr>
        <xdr:cNvGrpSpPr/>
      </xdr:nvGrpSpPr>
      <xdr:grpSpPr>
        <a:xfrm>
          <a:off x="7215187" y="440530"/>
          <a:ext cx="1143003" cy="1035845"/>
          <a:chOff x="7215187" y="440530"/>
          <a:chExt cx="1143003" cy="1035845"/>
        </a:xfrm>
      </xdr:grpSpPr>
      <xdr:cxnSp macro="">
        <xdr:nvCxnSpPr>
          <xdr:cNvPr id="44" name="Straight Connector 43">
            <a:extLst>
              <a:ext uri="{FF2B5EF4-FFF2-40B4-BE49-F238E27FC236}">
                <a16:creationId xmlns:a16="http://schemas.microsoft.com/office/drawing/2014/main" id="{6D3397BE-5C20-E8DE-3B92-82A1BF811FA4}"/>
              </a:ext>
            </a:extLst>
          </xdr:cNvPr>
          <xdr:cNvCxnSpPr/>
        </xdr:nvCxnSpPr>
        <xdr:spPr>
          <a:xfrm flipV="1">
            <a:off x="7215187" y="713156"/>
            <a:ext cx="255399" cy="763219"/>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509853B3-AC6A-A8D9-1E43-FDCA99CE036A}"/>
              </a:ext>
            </a:extLst>
          </xdr:cNvPr>
          <xdr:cNvCxnSpPr/>
        </xdr:nvCxnSpPr>
        <xdr:spPr>
          <a:xfrm>
            <a:off x="7453313" y="714374"/>
            <a:ext cx="845343" cy="1190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sp macro="" textlink="">
        <xdr:nvSpPr>
          <xdr:cNvPr id="54" name="TextBox 53">
            <a:extLst>
              <a:ext uri="{FF2B5EF4-FFF2-40B4-BE49-F238E27FC236}">
                <a16:creationId xmlns:a16="http://schemas.microsoft.com/office/drawing/2014/main" id="{2BD85792-8ADF-8E9E-D6E2-69EB499DFC24}"/>
              </a:ext>
            </a:extLst>
          </xdr:cNvPr>
          <xdr:cNvSpPr txBox="1"/>
        </xdr:nvSpPr>
        <xdr:spPr>
          <a:xfrm>
            <a:off x="7465221" y="440530"/>
            <a:ext cx="892969" cy="27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Oceania</a:t>
            </a:r>
          </a:p>
        </xdr:txBody>
      </xdr:sp>
    </xdr:grpSp>
    <xdr:clientData/>
  </xdr:twoCellAnchor>
  <xdr:twoCellAnchor>
    <xdr:from>
      <xdr:col>14</xdr:col>
      <xdr:colOff>511968</xdr:colOff>
      <xdr:row>4</xdr:row>
      <xdr:rowOff>140493</xdr:rowOff>
    </xdr:from>
    <xdr:to>
      <xdr:col>15</xdr:col>
      <xdr:colOff>390525</xdr:colOff>
      <xdr:row>7</xdr:row>
      <xdr:rowOff>178594</xdr:rowOff>
    </xdr:to>
    <xdr:cxnSp macro="">
      <xdr:nvCxnSpPr>
        <xdr:cNvPr id="58" name="Straight Connector 57">
          <a:extLst>
            <a:ext uri="{FF2B5EF4-FFF2-40B4-BE49-F238E27FC236}">
              <a16:creationId xmlns:a16="http://schemas.microsoft.com/office/drawing/2014/main" id="{1F2CCC51-7C58-D20D-E8F2-12957D5DE118}"/>
            </a:ext>
          </a:extLst>
        </xdr:cNvPr>
        <xdr:cNvCxnSpPr/>
      </xdr:nvCxnSpPr>
      <xdr:spPr>
        <a:xfrm flipV="1">
          <a:off x="9013031" y="902493"/>
          <a:ext cx="485775" cy="609601"/>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378620</xdr:colOff>
      <xdr:row>4</xdr:row>
      <xdr:rowOff>152399</xdr:rowOff>
    </xdr:from>
    <xdr:to>
      <xdr:col>17</xdr:col>
      <xdr:colOff>9525</xdr:colOff>
      <xdr:row>4</xdr:row>
      <xdr:rowOff>164306</xdr:rowOff>
    </xdr:to>
    <xdr:cxnSp macro="">
      <xdr:nvCxnSpPr>
        <xdr:cNvPr id="59" name="Straight Connector 58">
          <a:extLst>
            <a:ext uri="{FF2B5EF4-FFF2-40B4-BE49-F238E27FC236}">
              <a16:creationId xmlns:a16="http://schemas.microsoft.com/office/drawing/2014/main" id="{0D72CB7C-0B62-77EE-8887-47C58F3B811B}"/>
            </a:ext>
          </a:extLst>
        </xdr:cNvPr>
        <xdr:cNvCxnSpPr/>
      </xdr:nvCxnSpPr>
      <xdr:spPr>
        <a:xfrm>
          <a:off x="9486901" y="914399"/>
          <a:ext cx="845343" cy="1190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366715</xdr:colOff>
      <xdr:row>3</xdr:row>
      <xdr:rowOff>69056</xdr:rowOff>
    </xdr:from>
    <xdr:to>
      <xdr:col>17</xdr:col>
      <xdr:colOff>45246</xdr:colOff>
      <xdr:row>4</xdr:row>
      <xdr:rowOff>152401</xdr:rowOff>
    </xdr:to>
    <xdr:sp macro="" textlink="">
      <xdr:nvSpPr>
        <xdr:cNvPr id="60" name="TextBox 59">
          <a:extLst>
            <a:ext uri="{FF2B5EF4-FFF2-40B4-BE49-F238E27FC236}">
              <a16:creationId xmlns:a16="http://schemas.microsoft.com/office/drawing/2014/main" id="{D2AD0FE1-11AE-F51A-0487-E91039FBF41B}"/>
            </a:ext>
          </a:extLst>
        </xdr:cNvPr>
        <xdr:cNvSpPr txBox="1"/>
      </xdr:nvSpPr>
      <xdr:spPr>
        <a:xfrm>
          <a:off x="9474996" y="640556"/>
          <a:ext cx="892969" cy="27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Europe</a:t>
          </a:r>
        </a:p>
      </xdr:txBody>
    </xdr:sp>
    <xdr:clientData/>
  </xdr:twoCellAnchor>
  <xdr:twoCellAnchor>
    <xdr:from>
      <xdr:col>16</xdr:col>
      <xdr:colOff>511969</xdr:colOff>
      <xdr:row>13</xdr:row>
      <xdr:rowOff>107156</xdr:rowOff>
    </xdr:from>
    <xdr:to>
      <xdr:col>17</xdr:col>
      <xdr:colOff>535781</xdr:colOff>
      <xdr:row>16</xdr:row>
      <xdr:rowOff>95250</xdr:rowOff>
    </xdr:to>
    <xdr:cxnSp macro="">
      <xdr:nvCxnSpPr>
        <xdr:cNvPr id="63" name="Straight Connector 62">
          <a:extLst>
            <a:ext uri="{FF2B5EF4-FFF2-40B4-BE49-F238E27FC236}">
              <a16:creationId xmlns:a16="http://schemas.microsoft.com/office/drawing/2014/main" id="{4B33D10C-3A39-FAD4-08A3-C0237884CBA6}"/>
            </a:ext>
          </a:extLst>
        </xdr:cNvPr>
        <xdr:cNvCxnSpPr/>
      </xdr:nvCxnSpPr>
      <xdr:spPr>
        <a:xfrm flipV="1">
          <a:off x="10227469" y="2583656"/>
          <a:ext cx="631031" cy="559594"/>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535783</xdr:colOff>
      <xdr:row>13</xdr:row>
      <xdr:rowOff>107156</xdr:rowOff>
    </xdr:from>
    <xdr:to>
      <xdr:col>19</xdr:col>
      <xdr:colOff>511969</xdr:colOff>
      <xdr:row>13</xdr:row>
      <xdr:rowOff>130969</xdr:rowOff>
    </xdr:to>
    <xdr:cxnSp macro="">
      <xdr:nvCxnSpPr>
        <xdr:cNvPr id="64" name="Straight Connector 63">
          <a:extLst>
            <a:ext uri="{FF2B5EF4-FFF2-40B4-BE49-F238E27FC236}">
              <a16:creationId xmlns:a16="http://schemas.microsoft.com/office/drawing/2014/main" id="{C606C0A7-0552-9D0B-EC3C-6161A82ECF84}"/>
            </a:ext>
          </a:extLst>
        </xdr:cNvPr>
        <xdr:cNvCxnSpPr/>
      </xdr:nvCxnSpPr>
      <xdr:spPr>
        <a:xfrm>
          <a:off x="10858502" y="2583656"/>
          <a:ext cx="1190623" cy="23813"/>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571503</xdr:colOff>
      <xdr:row>12</xdr:row>
      <xdr:rowOff>35719</xdr:rowOff>
    </xdr:from>
    <xdr:to>
      <xdr:col>20</xdr:col>
      <xdr:colOff>35719</xdr:colOff>
      <xdr:row>13</xdr:row>
      <xdr:rowOff>107157</xdr:rowOff>
    </xdr:to>
    <xdr:sp macro="" textlink="">
      <xdr:nvSpPr>
        <xdr:cNvPr id="65" name="TextBox 64">
          <a:extLst>
            <a:ext uri="{FF2B5EF4-FFF2-40B4-BE49-F238E27FC236}">
              <a16:creationId xmlns:a16="http://schemas.microsoft.com/office/drawing/2014/main" id="{AAF34676-F69C-D134-C014-055E36267258}"/>
            </a:ext>
          </a:extLst>
        </xdr:cNvPr>
        <xdr:cNvSpPr txBox="1"/>
      </xdr:nvSpPr>
      <xdr:spPr>
        <a:xfrm>
          <a:off x="10894222" y="2321719"/>
          <a:ext cx="1285872"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North America</a:t>
          </a:r>
        </a:p>
      </xdr:txBody>
    </xdr:sp>
    <xdr:clientData/>
  </xdr:twoCellAnchor>
  <xdr:twoCellAnchor>
    <xdr:from>
      <xdr:col>16</xdr:col>
      <xdr:colOff>119062</xdr:colOff>
      <xdr:row>25</xdr:row>
      <xdr:rowOff>47625</xdr:rowOff>
    </xdr:from>
    <xdr:to>
      <xdr:col>16</xdr:col>
      <xdr:colOff>523878</xdr:colOff>
      <xdr:row>29</xdr:row>
      <xdr:rowOff>23812</xdr:rowOff>
    </xdr:to>
    <xdr:cxnSp macro="">
      <xdr:nvCxnSpPr>
        <xdr:cNvPr id="69" name="Straight Connector 68">
          <a:extLst>
            <a:ext uri="{FF2B5EF4-FFF2-40B4-BE49-F238E27FC236}">
              <a16:creationId xmlns:a16="http://schemas.microsoft.com/office/drawing/2014/main" id="{31CFD4D8-8B4F-7F88-858F-AE3A08E5A533}"/>
            </a:ext>
          </a:extLst>
        </xdr:cNvPr>
        <xdr:cNvCxnSpPr/>
      </xdr:nvCxnSpPr>
      <xdr:spPr>
        <a:xfrm flipH="1" flipV="1">
          <a:off x="9834562" y="4810125"/>
          <a:ext cx="404816" cy="73818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523876</xdr:colOff>
      <xdr:row>29</xdr:row>
      <xdr:rowOff>11906</xdr:rowOff>
    </xdr:from>
    <xdr:to>
      <xdr:col>18</xdr:col>
      <xdr:colOff>178593</xdr:colOff>
      <xdr:row>29</xdr:row>
      <xdr:rowOff>11906</xdr:rowOff>
    </xdr:to>
    <xdr:cxnSp macro="">
      <xdr:nvCxnSpPr>
        <xdr:cNvPr id="70" name="Straight Connector 69">
          <a:extLst>
            <a:ext uri="{FF2B5EF4-FFF2-40B4-BE49-F238E27FC236}">
              <a16:creationId xmlns:a16="http://schemas.microsoft.com/office/drawing/2014/main" id="{7BC3C23B-0C8D-2FC0-EC45-3D5910C53508}"/>
            </a:ext>
          </a:extLst>
        </xdr:cNvPr>
        <xdr:cNvCxnSpPr/>
      </xdr:nvCxnSpPr>
      <xdr:spPr>
        <a:xfrm flipH="1">
          <a:off x="10239376" y="5536406"/>
          <a:ext cx="869155"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47293</xdr:colOff>
      <xdr:row>27</xdr:row>
      <xdr:rowOff>113865</xdr:rowOff>
    </xdr:from>
    <xdr:to>
      <xdr:col>18</xdr:col>
      <xdr:colOff>333043</xdr:colOff>
      <xdr:row>29</xdr:row>
      <xdr:rowOff>6710</xdr:rowOff>
    </xdr:to>
    <xdr:sp macro="" textlink="">
      <xdr:nvSpPr>
        <xdr:cNvPr id="71" name="TextBox 70">
          <a:extLst>
            <a:ext uri="{FF2B5EF4-FFF2-40B4-BE49-F238E27FC236}">
              <a16:creationId xmlns:a16="http://schemas.microsoft.com/office/drawing/2014/main" id="{1C5A638C-A3CC-5575-7ECD-7866C6BCEF26}"/>
            </a:ext>
          </a:extLst>
        </xdr:cNvPr>
        <xdr:cNvSpPr txBox="1"/>
      </xdr:nvSpPr>
      <xdr:spPr>
        <a:xfrm>
          <a:off x="10370012" y="5257365"/>
          <a:ext cx="892969" cy="27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Africa</a:t>
          </a:r>
        </a:p>
      </xdr:txBody>
    </xdr:sp>
    <xdr:clientData/>
  </xdr:twoCellAnchor>
  <xdr:twoCellAnchor>
    <xdr:from>
      <xdr:col>7</xdr:col>
      <xdr:colOff>559597</xdr:colOff>
      <xdr:row>7</xdr:row>
      <xdr:rowOff>47625</xdr:rowOff>
    </xdr:from>
    <xdr:to>
      <xdr:col>10</xdr:col>
      <xdr:colOff>95249</xdr:colOff>
      <xdr:row>12</xdr:row>
      <xdr:rowOff>130970</xdr:rowOff>
    </xdr:to>
    <xdr:grpSp>
      <xdr:nvGrpSpPr>
        <xdr:cNvPr id="89" name="Group 88">
          <a:extLst>
            <a:ext uri="{FF2B5EF4-FFF2-40B4-BE49-F238E27FC236}">
              <a16:creationId xmlns:a16="http://schemas.microsoft.com/office/drawing/2014/main" id="{063F87D6-0EF1-458A-B619-6F2C081F35B8}"/>
            </a:ext>
          </a:extLst>
        </xdr:cNvPr>
        <xdr:cNvGrpSpPr/>
      </xdr:nvGrpSpPr>
      <xdr:grpSpPr>
        <a:xfrm flipH="1">
          <a:off x="4810128" y="1381125"/>
          <a:ext cx="1357309" cy="1035845"/>
          <a:chOff x="7215187" y="440530"/>
          <a:chExt cx="1143003" cy="1035845"/>
        </a:xfrm>
      </xdr:grpSpPr>
      <xdr:cxnSp macro="">
        <xdr:nvCxnSpPr>
          <xdr:cNvPr id="90" name="Straight Connector 89">
            <a:extLst>
              <a:ext uri="{FF2B5EF4-FFF2-40B4-BE49-F238E27FC236}">
                <a16:creationId xmlns:a16="http://schemas.microsoft.com/office/drawing/2014/main" id="{32EE0D5C-F3A3-25C6-BBDA-73C1EBE8A369}"/>
              </a:ext>
            </a:extLst>
          </xdr:cNvPr>
          <xdr:cNvCxnSpPr/>
        </xdr:nvCxnSpPr>
        <xdr:spPr>
          <a:xfrm flipV="1">
            <a:off x="7215187" y="713156"/>
            <a:ext cx="255399" cy="763219"/>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5ECF9BA2-9AA3-ECB9-416B-3F730141FCCB}"/>
              </a:ext>
            </a:extLst>
          </xdr:cNvPr>
          <xdr:cNvCxnSpPr/>
        </xdr:nvCxnSpPr>
        <xdr:spPr>
          <a:xfrm>
            <a:off x="7453313" y="714374"/>
            <a:ext cx="845343" cy="1190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TextBox 91">
            <a:extLst>
              <a:ext uri="{FF2B5EF4-FFF2-40B4-BE49-F238E27FC236}">
                <a16:creationId xmlns:a16="http://schemas.microsoft.com/office/drawing/2014/main" id="{022EB820-1A20-EABE-DD3D-BD8B9467356B}"/>
              </a:ext>
            </a:extLst>
          </xdr:cNvPr>
          <xdr:cNvSpPr txBox="1"/>
        </xdr:nvSpPr>
        <xdr:spPr>
          <a:xfrm>
            <a:off x="7465221" y="440530"/>
            <a:ext cx="892969" cy="27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Middle East</a:t>
            </a:r>
          </a:p>
        </xdr:txBody>
      </xdr:sp>
    </xdr:grpSp>
    <xdr:clientData/>
  </xdr:twoCellAnchor>
  <xdr:twoCellAnchor>
    <xdr:from>
      <xdr:col>8</xdr:col>
      <xdr:colOff>566134</xdr:colOff>
      <xdr:row>21</xdr:row>
      <xdr:rowOff>52682</xdr:rowOff>
    </xdr:from>
    <xdr:to>
      <xdr:col>10</xdr:col>
      <xdr:colOff>59531</xdr:colOff>
      <xdr:row>23</xdr:row>
      <xdr:rowOff>154781</xdr:rowOff>
    </xdr:to>
    <xdr:cxnSp macro="">
      <xdr:nvCxnSpPr>
        <xdr:cNvPr id="94" name="Straight Connector 93">
          <a:extLst>
            <a:ext uri="{FF2B5EF4-FFF2-40B4-BE49-F238E27FC236}">
              <a16:creationId xmlns:a16="http://schemas.microsoft.com/office/drawing/2014/main" id="{7C3F39A8-E835-957C-678F-3A76E66DE39B}"/>
            </a:ext>
          </a:extLst>
        </xdr:cNvPr>
        <xdr:cNvCxnSpPr/>
      </xdr:nvCxnSpPr>
      <xdr:spPr>
        <a:xfrm flipH="1" flipV="1">
          <a:off x="5423884" y="4053182"/>
          <a:ext cx="707835" cy="483099"/>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404813</xdr:colOff>
      <xdr:row>21</xdr:row>
      <xdr:rowOff>54192</xdr:rowOff>
    </xdr:from>
    <xdr:to>
      <xdr:col>8</xdr:col>
      <xdr:colOff>583407</xdr:colOff>
      <xdr:row>21</xdr:row>
      <xdr:rowOff>59531</xdr:rowOff>
    </xdr:to>
    <xdr:cxnSp macro="">
      <xdr:nvCxnSpPr>
        <xdr:cNvPr id="95" name="Straight Connector 94">
          <a:extLst>
            <a:ext uri="{FF2B5EF4-FFF2-40B4-BE49-F238E27FC236}">
              <a16:creationId xmlns:a16="http://schemas.microsoft.com/office/drawing/2014/main" id="{A15C4CA2-BF01-CD22-951A-F7E7EDB9A271}"/>
            </a:ext>
          </a:extLst>
        </xdr:cNvPr>
        <xdr:cNvCxnSpPr/>
      </xdr:nvCxnSpPr>
      <xdr:spPr>
        <a:xfrm flipH="1">
          <a:off x="4655344" y="4054692"/>
          <a:ext cx="785813" cy="5339"/>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416714</xdr:colOff>
      <xdr:row>19</xdr:row>
      <xdr:rowOff>154779</xdr:rowOff>
    </xdr:from>
    <xdr:to>
      <xdr:col>9</xdr:col>
      <xdr:colOff>95245</xdr:colOff>
      <xdr:row>21</xdr:row>
      <xdr:rowOff>113724</xdr:rowOff>
    </xdr:to>
    <xdr:sp macro="" textlink="">
      <xdr:nvSpPr>
        <xdr:cNvPr id="96" name="TextBox 95">
          <a:extLst>
            <a:ext uri="{FF2B5EF4-FFF2-40B4-BE49-F238E27FC236}">
              <a16:creationId xmlns:a16="http://schemas.microsoft.com/office/drawing/2014/main" id="{E3257888-5140-FE93-F7F7-E6F4908BDF88}"/>
            </a:ext>
          </a:extLst>
        </xdr:cNvPr>
        <xdr:cNvSpPr txBox="1"/>
      </xdr:nvSpPr>
      <xdr:spPr>
        <a:xfrm rot="10800000" flipV="1">
          <a:off x="4667245" y="3774279"/>
          <a:ext cx="892969" cy="339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Asia</a:t>
          </a:r>
        </a:p>
      </xdr:txBody>
    </xdr:sp>
    <xdr:clientData/>
  </xdr:twoCellAnchor>
  <xdr:twoCellAnchor>
    <xdr:from>
      <xdr:col>9</xdr:col>
      <xdr:colOff>59532</xdr:colOff>
      <xdr:row>29</xdr:row>
      <xdr:rowOff>95249</xdr:rowOff>
    </xdr:from>
    <xdr:to>
      <xdr:col>12</xdr:col>
      <xdr:colOff>214313</xdr:colOff>
      <xdr:row>32</xdr:row>
      <xdr:rowOff>179811</xdr:rowOff>
    </xdr:to>
    <xdr:grpSp>
      <xdr:nvGrpSpPr>
        <xdr:cNvPr id="100" name="Group 99">
          <a:extLst>
            <a:ext uri="{FF2B5EF4-FFF2-40B4-BE49-F238E27FC236}">
              <a16:creationId xmlns:a16="http://schemas.microsoft.com/office/drawing/2014/main" id="{917BC264-A9A7-4B29-9D28-9448DDADA14B}"/>
            </a:ext>
          </a:extLst>
        </xdr:cNvPr>
        <xdr:cNvGrpSpPr/>
      </xdr:nvGrpSpPr>
      <xdr:grpSpPr>
        <a:xfrm rot="10800000">
          <a:off x="5524501" y="5619749"/>
          <a:ext cx="1976437" cy="656062"/>
          <a:chOff x="6762753" y="713157"/>
          <a:chExt cx="1976437" cy="656062"/>
        </a:xfrm>
      </xdr:grpSpPr>
      <xdr:cxnSp macro="">
        <xdr:nvCxnSpPr>
          <xdr:cNvPr id="101" name="Straight Connector 100">
            <a:extLst>
              <a:ext uri="{FF2B5EF4-FFF2-40B4-BE49-F238E27FC236}">
                <a16:creationId xmlns:a16="http://schemas.microsoft.com/office/drawing/2014/main" id="{8CDB8703-F638-04C0-421F-06097E55569C}"/>
              </a:ext>
            </a:extLst>
          </xdr:cNvPr>
          <xdr:cNvCxnSpPr/>
        </xdr:nvCxnSpPr>
        <xdr:spPr>
          <a:xfrm rot="10800000" flipH="1">
            <a:off x="6762753" y="713157"/>
            <a:ext cx="707832" cy="656062"/>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a:extLst>
              <a:ext uri="{FF2B5EF4-FFF2-40B4-BE49-F238E27FC236}">
                <a16:creationId xmlns:a16="http://schemas.microsoft.com/office/drawing/2014/main" id="{6E5801C8-7CB3-1636-1105-570DF58CCDB3}"/>
              </a:ext>
            </a:extLst>
          </xdr:cNvPr>
          <xdr:cNvCxnSpPr/>
        </xdr:nvCxnSpPr>
        <xdr:spPr>
          <a:xfrm rot="10800000" flipH="1" flipV="1">
            <a:off x="7453312" y="714374"/>
            <a:ext cx="1220327" cy="6952"/>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TextBox 102">
            <a:extLst>
              <a:ext uri="{FF2B5EF4-FFF2-40B4-BE49-F238E27FC236}">
                <a16:creationId xmlns:a16="http://schemas.microsoft.com/office/drawing/2014/main" id="{22996746-4F42-A65F-94A8-44AE545DCC7F}"/>
              </a:ext>
            </a:extLst>
          </xdr:cNvPr>
          <xdr:cNvSpPr txBox="1"/>
        </xdr:nvSpPr>
        <xdr:spPr>
          <a:xfrm flipV="1">
            <a:off x="7465222" y="714375"/>
            <a:ext cx="1273968"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solidFill>
                  <a:schemeClr val="bg1"/>
                </a:solidFill>
              </a:rPr>
              <a:t>South America</a:t>
            </a:r>
          </a:p>
        </xdr:txBody>
      </xdr:sp>
    </xdr:grpSp>
    <xdr:clientData/>
  </xdr:twoCellAnchor>
  <xdr:twoCellAnchor>
    <xdr:from>
      <xdr:col>20</xdr:col>
      <xdr:colOff>35720</xdr:colOff>
      <xdr:row>15</xdr:row>
      <xdr:rowOff>166685</xdr:rowOff>
    </xdr:from>
    <xdr:to>
      <xdr:col>26</xdr:col>
      <xdr:colOff>71437</xdr:colOff>
      <xdr:row>30</xdr:row>
      <xdr:rowOff>142874</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1B6F01BE-0FB0-4C79-AFBE-7AD77E4DB8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27720" y="3024185"/>
              <a:ext cx="3693317" cy="28336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83343</xdr:colOff>
      <xdr:row>8</xdr:row>
      <xdr:rowOff>2</xdr:rowOff>
    </xdr:from>
    <xdr:to>
      <xdr:col>3</xdr:col>
      <xdr:colOff>11906</xdr:colOff>
      <xdr:row>9</xdr:row>
      <xdr:rowOff>35720</xdr:rowOff>
    </xdr:to>
    <xdr:sp macro="" textlink="customers_data!L31">
      <xdr:nvSpPr>
        <xdr:cNvPr id="42" name="TextBox 41">
          <a:extLst>
            <a:ext uri="{FF2B5EF4-FFF2-40B4-BE49-F238E27FC236}">
              <a16:creationId xmlns:a16="http://schemas.microsoft.com/office/drawing/2014/main" id="{92B67A5F-70CF-46EA-F1D8-32FEC6870EF3}"/>
            </a:ext>
          </a:extLst>
        </xdr:cNvPr>
        <xdr:cNvSpPr txBox="1"/>
      </xdr:nvSpPr>
      <xdr:spPr>
        <a:xfrm>
          <a:off x="1297781" y="1524002"/>
          <a:ext cx="535781"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97B5C7-28DA-47FA-815E-9DC5C1042AF0}" type="TxLink">
            <a:rPr lang="en-US" sz="1000" b="0" i="0" u="none" strike="noStrike">
              <a:solidFill>
                <a:schemeClr val="bg1"/>
              </a:solidFill>
              <a:latin typeface="Calibri"/>
              <a:ea typeface="Calibri"/>
              <a:cs typeface="Calibri"/>
            </a:rPr>
            <a:pPr/>
            <a:t>100</a:t>
          </a:fld>
          <a:endParaRPr lang="en-US" sz="1000">
            <a:solidFill>
              <a:schemeClr val="bg1"/>
            </a:solidFill>
          </a:endParaRPr>
        </a:p>
      </xdr:txBody>
    </xdr:sp>
    <xdr:clientData/>
  </xdr:twoCellAnchor>
  <xdr:twoCellAnchor>
    <xdr:from>
      <xdr:col>0</xdr:col>
      <xdr:colOff>309563</xdr:colOff>
      <xdr:row>8</xdr:row>
      <xdr:rowOff>1</xdr:rowOff>
    </xdr:from>
    <xdr:to>
      <xdr:col>2</xdr:col>
      <xdr:colOff>214312</xdr:colOff>
      <xdr:row>9</xdr:row>
      <xdr:rowOff>47625</xdr:rowOff>
    </xdr:to>
    <xdr:sp macro="" textlink="">
      <xdr:nvSpPr>
        <xdr:cNvPr id="43" name="TextBox 42">
          <a:extLst>
            <a:ext uri="{FF2B5EF4-FFF2-40B4-BE49-F238E27FC236}">
              <a16:creationId xmlns:a16="http://schemas.microsoft.com/office/drawing/2014/main" id="{B6A7D50E-3B3D-8E71-BD71-DFB7BF456B1E}"/>
            </a:ext>
          </a:extLst>
        </xdr:cNvPr>
        <xdr:cNvSpPr txBox="1"/>
      </xdr:nvSpPr>
      <xdr:spPr>
        <a:xfrm>
          <a:off x="309563" y="1524001"/>
          <a:ext cx="1119187"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lumMod val="50000"/>
                  <a:lumOff val="50000"/>
                </a:schemeClr>
              </a:solidFill>
            </a:rPr>
            <a:t>Registered today: </a:t>
          </a:r>
        </a:p>
      </xdr:txBody>
    </xdr:sp>
    <xdr:clientData/>
  </xdr:twoCellAnchor>
  <xdr:twoCellAnchor>
    <xdr:from>
      <xdr:col>0</xdr:col>
      <xdr:colOff>392906</xdr:colOff>
      <xdr:row>9</xdr:row>
      <xdr:rowOff>35718</xdr:rowOff>
    </xdr:from>
    <xdr:to>
      <xdr:col>2</xdr:col>
      <xdr:colOff>500062</xdr:colOff>
      <xdr:row>9</xdr:row>
      <xdr:rowOff>35718</xdr:rowOff>
    </xdr:to>
    <xdr:cxnSp macro="">
      <xdr:nvCxnSpPr>
        <xdr:cNvPr id="52" name="Straight Connector 51">
          <a:extLst>
            <a:ext uri="{FF2B5EF4-FFF2-40B4-BE49-F238E27FC236}">
              <a16:creationId xmlns:a16="http://schemas.microsoft.com/office/drawing/2014/main" id="{7D6794D6-6C14-9373-389E-ABF6D940432D}"/>
            </a:ext>
          </a:extLst>
        </xdr:cNvPr>
        <xdr:cNvCxnSpPr/>
      </xdr:nvCxnSpPr>
      <xdr:spPr>
        <a:xfrm>
          <a:off x="392906" y="1750218"/>
          <a:ext cx="132159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583406</xdr:colOff>
      <xdr:row>1</xdr:row>
      <xdr:rowOff>71439</xdr:rowOff>
    </xdr:from>
    <xdr:to>
      <xdr:col>26</xdr:col>
      <xdr:colOff>100012</xdr:colOff>
      <xdr:row>3</xdr:row>
      <xdr:rowOff>142875</xdr:rowOff>
    </xdr:to>
    <mc:AlternateContent xmlns:mc="http://schemas.openxmlformats.org/markup-compatibility/2006" xmlns:a14="http://schemas.microsoft.com/office/drawing/2010/main">
      <mc:Choice Requires="a14">
        <xdr:graphicFrame macro="">
          <xdr:nvGraphicFramePr>
            <xdr:cNvPr id="55" name="gender 1">
              <a:extLst>
                <a:ext uri="{FF2B5EF4-FFF2-40B4-BE49-F238E27FC236}">
                  <a16:creationId xmlns:a16="http://schemas.microsoft.com/office/drawing/2014/main" id="{B5501655-7EC2-46FD-8977-AA57B2FBB7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335000" y="261939"/>
              <a:ext cx="2552700" cy="452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547684</xdr:colOff>
      <xdr:row>3</xdr:row>
      <xdr:rowOff>178594</xdr:rowOff>
    </xdr:from>
    <xdr:to>
      <xdr:col>25</xdr:col>
      <xdr:colOff>452434</xdr:colOff>
      <xdr:row>15</xdr:row>
      <xdr:rowOff>23813</xdr:rowOff>
    </xdr:to>
    <xdr:graphicFrame macro="">
      <xdr:nvGraphicFramePr>
        <xdr:cNvPr id="57" name="Chart 56">
          <a:extLst>
            <a:ext uri="{FF2B5EF4-FFF2-40B4-BE49-F238E27FC236}">
              <a16:creationId xmlns:a16="http://schemas.microsoft.com/office/drawing/2014/main" id="{B93FDDC3-117E-4796-A454-A36D6F9A8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178592</xdr:colOff>
      <xdr:row>5</xdr:row>
      <xdr:rowOff>83344</xdr:rowOff>
    </xdr:from>
    <xdr:to>
      <xdr:col>22</xdr:col>
      <xdr:colOff>559592</xdr:colOff>
      <xdr:row>6</xdr:row>
      <xdr:rowOff>83344</xdr:rowOff>
    </xdr:to>
    <xdr:sp macro="" textlink="">
      <xdr:nvSpPr>
        <xdr:cNvPr id="62" name="TextBox 61">
          <a:extLst>
            <a:ext uri="{FF2B5EF4-FFF2-40B4-BE49-F238E27FC236}">
              <a16:creationId xmlns:a16="http://schemas.microsoft.com/office/drawing/2014/main" id="{FF1658A1-A29E-479A-99E7-B8FB93720DE2}"/>
            </a:ext>
          </a:extLst>
        </xdr:cNvPr>
        <xdr:cNvSpPr txBox="1"/>
      </xdr:nvSpPr>
      <xdr:spPr>
        <a:xfrm rot="10800000" flipV="1">
          <a:off x="12930186" y="1035844"/>
          <a:ext cx="98821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South America</a:t>
          </a:r>
        </a:p>
      </xdr:txBody>
    </xdr:sp>
    <xdr:clientData/>
  </xdr:twoCellAnchor>
  <xdr:twoCellAnchor>
    <xdr:from>
      <xdr:col>23</xdr:col>
      <xdr:colOff>238125</xdr:colOff>
      <xdr:row>3</xdr:row>
      <xdr:rowOff>107156</xdr:rowOff>
    </xdr:from>
    <xdr:to>
      <xdr:col>24</xdr:col>
      <xdr:colOff>250031</xdr:colOff>
      <xdr:row>4</xdr:row>
      <xdr:rowOff>107155</xdr:rowOff>
    </xdr:to>
    <xdr:sp macro="" textlink="">
      <xdr:nvSpPr>
        <xdr:cNvPr id="66" name="TextBox 65">
          <a:extLst>
            <a:ext uri="{FF2B5EF4-FFF2-40B4-BE49-F238E27FC236}">
              <a16:creationId xmlns:a16="http://schemas.microsoft.com/office/drawing/2014/main" id="{977DE20B-15D0-41BC-BAD4-CE86EF6E2C19}"/>
            </a:ext>
          </a:extLst>
        </xdr:cNvPr>
        <xdr:cNvSpPr txBox="1"/>
      </xdr:nvSpPr>
      <xdr:spPr>
        <a:xfrm>
          <a:off x="14204156" y="678656"/>
          <a:ext cx="619125"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Africa</a:t>
          </a:r>
        </a:p>
      </xdr:txBody>
    </xdr:sp>
    <xdr:clientData/>
  </xdr:twoCellAnchor>
  <xdr:twoCellAnchor>
    <xdr:from>
      <xdr:col>24</xdr:col>
      <xdr:colOff>559593</xdr:colOff>
      <xdr:row>5</xdr:row>
      <xdr:rowOff>130970</xdr:rowOff>
    </xdr:from>
    <xdr:to>
      <xdr:col>25</xdr:col>
      <xdr:colOff>357186</xdr:colOff>
      <xdr:row>6</xdr:row>
      <xdr:rowOff>142876</xdr:rowOff>
    </xdr:to>
    <xdr:sp macro="" textlink="">
      <xdr:nvSpPr>
        <xdr:cNvPr id="67" name="TextBox 66">
          <a:extLst>
            <a:ext uri="{FF2B5EF4-FFF2-40B4-BE49-F238E27FC236}">
              <a16:creationId xmlns:a16="http://schemas.microsoft.com/office/drawing/2014/main" id="{9D3EC2E4-D579-421B-8BCF-F9C4B204F79E}"/>
            </a:ext>
          </a:extLst>
        </xdr:cNvPr>
        <xdr:cNvSpPr txBox="1"/>
      </xdr:nvSpPr>
      <xdr:spPr>
        <a:xfrm rot="10800000" flipV="1">
          <a:off x="15132843" y="1083470"/>
          <a:ext cx="404812"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Asia</a:t>
          </a:r>
        </a:p>
      </xdr:txBody>
    </xdr:sp>
    <xdr:clientData/>
  </xdr:twoCellAnchor>
  <xdr:twoCellAnchor>
    <xdr:from>
      <xdr:col>24</xdr:col>
      <xdr:colOff>119063</xdr:colOff>
      <xdr:row>14</xdr:row>
      <xdr:rowOff>0</xdr:rowOff>
    </xdr:from>
    <xdr:to>
      <xdr:col>25</xdr:col>
      <xdr:colOff>273844</xdr:colOff>
      <xdr:row>15</xdr:row>
      <xdr:rowOff>11906</xdr:rowOff>
    </xdr:to>
    <xdr:sp macro="" textlink="">
      <xdr:nvSpPr>
        <xdr:cNvPr id="68" name="TextBox 67">
          <a:extLst>
            <a:ext uri="{FF2B5EF4-FFF2-40B4-BE49-F238E27FC236}">
              <a16:creationId xmlns:a16="http://schemas.microsoft.com/office/drawing/2014/main" id="{1A293FB0-AA05-4F28-9106-2B6B4B35315B}"/>
            </a:ext>
          </a:extLst>
        </xdr:cNvPr>
        <xdr:cNvSpPr txBox="1"/>
      </xdr:nvSpPr>
      <xdr:spPr>
        <a:xfrm flipH="1">
          <a:off x="14692313" y="2667000"/>
          <a:ext cx="762000"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Middle East</a:t>
          </a:r>
        </a:p>
      </xdr:txBody>
    </xdr:sp>
    <xdr:clientData/>
  </xdr:twoCellAnchor>
  <xdr:twoCellAnchor>
    <xdr:from>
      <xdr:col>21</xdr:col>
      <xdr:colOff>273845</xdr:colOff>
      <xdr:row>10</xdr:row>
      <xdr:rowOff>0</xdr:rowOff>
    </xdr:from>
    <xdr:to>
      <xdr:col>22</xdr:col>
      <xdr:colOff>333374</xdr:colOff>
      <xdr:row>10</xdr:row>
      <xdr:rowOff>190499</xdr:rowOff>
    </xdr:to>
    <xdr:sp macro="" textlink="">
      <xdr:nvSpPr>
        <xdr:cNvPr id="72" name="TextBox 71">
          <a:extLst>
            <a:ext uri="{FF2B5EF4-FFF2-40B4-BE49-F238E27FC236}">
              <a16:creationId xmlns:a16="http://schemas.microsoft.com/office/drawing/2014/main" id="{61119E95-FAC5-4BD2-A8F7-9D724C4F6291}"/>
            </a:ext>
          </a:extLst>
        </xdr:cNvPr>
        <xdr:cNvSpPr txBox="1"/>
      </xdr:nvSpPr>
      <xdr:spPr>
        <a:xfrm>
          <a:off x="13025439" y="1905000"/>
          <a:ext cx="66674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Oceania</a:t>
          </a:r>
        </a:p>
      </xdr:txBody>
    </xdr:sp>
    <xdr:clientData/>
  </xdr:twoCellAnchor>
  <xdr:twoCellAnchor>
    <xdr:from>
      <xdr:col>25</xdr:col>
      <xdr:colOff>190499</xdr:colOff>
      <xdr:row>9</xdr:row>
      <xdr:rowOff>178595</xdr:rowOff>
    </xdr:from>
    <xdr:to>
      <xdr:col>26</xdr:col>
      <xdr:colOff>214311</xdr:colOff>
      <xdr:row>10</xdr:row>
      <xdr:rowOff>166689</xdr:rowOff>
    </xdr:to>
    <xdr:sp macro="" textlink="">
      <xdr:nvSpPr>
        <xdr:cNvPr id="73" name="TextBox 72">
          <a:extLst>
            <a:ext uri="{FF2B5EF4-FFF2-40B4-BE49-F238E27FC236}">
              <a16:creationId xmlns:a16="http://schemas.microsoft.com/office/drawing/2014/main" id="{5403E410-7D14-4BF7-BEDF-21E730934D1A}"/>
            </a:ext>
          </a:extLst>
        </xdr:cNvPr>
        <xdr:cNvSpPr txBox="1"/>
      </xdr:nvSpPr>
      <xdr:spPr>
        <a:xfrm>
          <a:off x="15370968" y="1893095"/>
          <a:ext cx="631031"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Europe</a:t>
          </a:r>
        </a:p>
      </xdr:txBody>
    </xdr:sp>
    <xdr:clientData/>
  </xdr:twoCellAnchor>
  <xdr:twoCellAnchor>
    <xdr:from>
      <xdr:col>21</xdr:col>
      <xdr:colOff>547687</xdr:colOff>
      <xdr:row>13</xdr:row>
      <xdr:rowOff>119063</xdr:rowOff>
    </xdr:from>
    <xdr:to>
      <xdr:col>23</xdr:col>
      <xdr:colOff>273843</xdr:colOff>
      <xdr:row>14</xdr:row>
      <xdr:rowOff>154782</xdr:rowOff>
    </xdr:to>
    <xdr:sp macro="" textlink="">
      <xdr:nvSpPr>
        <xdr:cNvPr id="74" name="TextBox 73">
          <a:extLst>
            <a:ext uri="{FF2B5EF4-FFF2-40B4-BE49-F238E27FC236}">
              <a16:creationId xmlns:a16="http://schemas.microsoft.com/office/drawing/2014/main" id="{D68202A5-AB4A-414D-B38F-CF0A22AA8466}"/>
            </a:ext>
          </a:extLst>
        </xdr:cNvPr>
        <xdr:cNvSpPr txBox="1"/>
      </xdr:nvSpPr>
      <xdr:spPr>
        <a:xfrm>
          <a:off x="13299281" y="2595563"/>
          <a:ext cx="940593"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a:solidFill>
                <a:schemeClr val="bg1"/>
              </a:solidFill>
            </a:rPr>
            <a:t>North America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561975</xdr:colOff>
      <xdr:row>1</xdr:row>
      <xdr:rowOff>93662</xdr:rowOff>
    </xdr:to>
    <xdr:grpSp>
      <xdr:nvGrpSpPr>
        <xdr:cNvPr id="11" name="Group 10">
          <a:extLst>
            <a:ext uri="{FF2B5EF4-FFF2-40B4-BE49-F238E27FC236}">
              <a16:creationId xmlns:a16="http://schemas.microsoft.com/office/drawing/2014/main" id="{32F76F20-23D7-4DB6-9A2A-355258735E81}"/>
            </a:ext>
          </a:extLst>
        </xdr:cNvPr>
        <xdr:cNvGrpSpPr/>
      </xdr:nvGrpSpPr>
      <xdr:grpSpPr>
        <a:xfrm>
          <a:off x="0" y="0"/>
          <a:ext cx="16956881" cy="284162"/>
          <a:chOff x="0" y="0"/>
          <a:chExt cx="16956881" cy="284162"/>
        </a:xfrm>
      </xdr:grpSpPr>
      <xdr:sp macro="" textlink="">
        <xdr:nvSpPr>
          <xdr:cNvPr id="12" name="Rectangle 11">
            <a:extLst>
              <a:ext uri="{FF2B5EF4-FFF2-40B4-BE49-F238E27FC236}">
                <a16:creationId xmlns:a16="http://schemas.microsoft.com/office/drawing/2014/main" id="{17F6F73B-D5B7-EF41-F82A-17E607AD6F8E}"/>
              </a:ext>
            </a:extLst>
          </xdr:cNvPr>
          <xdr:cNvSpPr/>
        </xdr:nvSpPr>
        <xdr:spPr>
          <a:xfrm>
            <a:off x="11906" y="0"/>
            <a:ext cx="16944975" cy="2571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956378E3-4217-9FE3-833A-7099CBC10334}"/>
              </a:ext>
            </a:extLst>
          </xdr:cNvPr>
          <xdr:cNvSpPr txBox="1"/>
        </xdr:nvSpPr>
        <xdr:spPr>
          <a:xfrm>
            <a:off x="238125" y="0"/>
            <a:ext cx="964406" cy="22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VMX</a:t>
            </a:r>
            <a:r>
              <a:rPr lang="en-US" sz="1200" b="1" baseline="0">
                <a:solidFill>
                  <a:schemeClr val="bg1"/>
                </a:solidFill>
              </a:rPr>
              <a:t> store</a:t>
            </a:r>
            <a:endParaRPr lang="en-US" sz="1200" b="1">
              <a:solidFill>
                <a:schemeClr val="bg1"/>
              </a:solidFill>
            </a:endParaRPr>
          </a:p>
        </xdr:txBody>
      </xdr:sp>
      <xdr:pic>
        <xdr:nvPicPr>
          <xdr:cNvPr id="14" name="Picture 13">
            <a:extLst>
              <a:ext uri="{FF2B5EF4-FFF2-40B4-BE49-F238E27FC236}">
                <a16:creationId xmlns:a16="http://schemas.microsoft.com/office/drawing/2014/main" id="{2989C04E-06BC-D82D-3E0A-CEAA3F76187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2"/>
            <a:ext cx="285748" cy="284160"/>
          </a:xfrm>
          <a:prstGeom prst="rect">
            <a:avLst/>
          </a:prstGeom>
        </xdr:spPr>
      </xdr:pic>
      <xdr:sp macro="" textlink="">
        <xdr:nvSpPr>
          <xdr:cNvPr id="15" name="TextBox 14">
            <a:hlinkClick xmlns:r="http://schemas.openxmlformats.org/officeDocument/2006/relationships" r:id="rId3"/>
            <a:extLst>
              <a:ext uri="{FF2B5EF4-FFF2-40B4-BE49-F238E27FC236}">
                <a16:creationId xmlns:a16="http://schemas.microsoft.com/office/drawing/2014/main" id="{D94DDAE1-7C4A-BFA8-2C5A-3E13D89F8663}"/>
              </a:ext>
            </a:extLst>
          </xdr:cNvPr>
          <xdr:cNvSpPr txBox="1"/>
        </xdr:nvSpPr>
        <xdr:spPr>
          <a:xfrm>
            <a:off x="15166180" y="0"/>
            <a:ext cx="964406"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About</a:t>
            </a:r>
          </a:p>
        </xdr:txBody>
      </xdr:sp>
      <xdr:sp macro="" textlink="">
        <xdr:nvSpPr>
          <xdr:cNvPr id="16" name="TextBox 15">
            <a:hlinkClick xmlns:r="http://schemas.openxmlformats.org/officeDocument/2006/relationships" r:id="rId4"/>
            <a:extLst>
              <a:ext uri="{FF2B5EF4-FFF2-40B4-BE49-F238E27FC236}">
                <a16:creationId xmlns:a16="http://schemas.microsoft.com/office/drawing/2014/main" id="{72E8F97D-1A59-D6AE-BAFC-C1414B22E78F}"/>
              </a:ext>
            </a:extLst>
          </xdr:cNvPr>
          <xdr:cNvSpPr txBox="1"/>
        </xdr:nvSpPr>
        <xdr:spPr>
          <a:xfrm>
            <a:off x="14085891" y="0"/>
            <a:ext cx="7560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Products			</a:t>
            </a:r>
          </a:p>
        </xdr:txBody>
      </xdr:sp>
      <xdr:sp macro="" textlink="">
        <xdr:nvSpPr>
          <xdr:cNvPr id="17" name="TextBox 16">
            <a:hlinkClick xmlns:r="http://schemas.openxmlformats.org/officeDocument/2006/relationships" r:id="rId5"/>
            <a:extLst>
              <a:ext uri="{FF2B5EF4-FFF2-40B4-BE49-F238E27FC236}">
                <a16:creationId xmlns:a16="http://schemas.microsoft.com/office/drawing/2014/main" id="{02817E60-F5D8-84F7-A713-F0FF2D2CB1CA}"/>
              </a:ext>
            </a:extLst>
          </xdr:cNvPr>
          <xdr:cNvSpPr txBox="1"/>
        </xdr:nvSpPr>
        <xdr:spPr>
          <a:xfrm>
            <a:off x="12891289" y="9525"/>
            <a:ext cx="1273969" cy="21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Partners</a:t>
            </a:r>
          </a:p>
          <a:p>
            <a:endParaRPr lang="en-US" sz="1200" b="1">
              <a:solidFill>
                <a:schemeClr val="bg1"/>
              </a:solidFill>
            </a:endParaRPr>
          </a:p>
        </xdr:txBody>
      </xdr:sp>
      <xdr:sp macro="" textlink="">
        <xdr:nvSpPr>
          <xdr:cNvPr id="18" name="TextBox 17">
            <a:hlinkClick xmlns:r="http://schemas.openxmlformats.org/officeDocument/2006/relationships" r:id="rId6"/>
            <a:extLst>
              <a:ext uri="{FF2B5EF4-FFF2-40B4-BE49-F238E27FC236}">
                <a16:creationId xmlns:a16="http://schemas.microsoft.com/office/drawing/2014/main" id="{CFA1511F-A844-3469-F5ED-F4EBBE54674F}"/>
              </a:ext>
            </a:extLst>
          </xdr:cNvPr>
          <xdr:cNvSpPr txBox="1"/>
        </xdr:nvSpPr>
        <xdr:spPr>
          <a:xfrm>
            <a:off x="11846718" y="11906"/>
            <a:ext cx="62388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Menu			</a:t>
            </a:r>
          </a:p>
        </xdr:txBody>
      </xdr:sp>
    </xdr:grpSp>
    <xdr:clientData/>
  </xdr:twoCellAnchor>
  <xdr:twoCellAnchor>
    <xdr:from>
      <xdr:col>21</xdr:col>
      <xdr:colOff>77883</xdr:colOff>
      <xdr:row>1</xdr:row>
      <xdr:rowOff>29951</xdr:rowOff>
    </xdr:from>
    <xdr:to>
      <xdr:col>22</xdr:col>
      <xdr:colOff>330845</xdr:colOff>
      <xdr:row>1</xdr:row>
      <xdr:rowOff>65951</xdr:rowOff>
    </xdr:to>
    <xdr:sp macro="" textlink="">
      <xdr:nvSpPr>
        <xdr:cNvPr id="2" name="Minus Sign 1">
          <a:extLst>
            <a:ext uri="{FF2B5EF4-FFF2-40B4-BE49-F238E27FC236}">
              <a16:creationId xmlns:a16="http://schemas.microsoft.com/office/drawing/2014/main" id="{5847AAF3-B78E-459E-889F-88317EFD99ED}"/>
            </a:ext>
          </a:extLst>
        </xdr:cNvPr>
        <xdr:cNvSpPr/>
      </xdr:nvSpPr>
      <xdr:spPr>
        <a:xfrm>
          <a:off x="12909675" y="221649"/>
          <a:ext cx="864000" cy="36000"/>
        </a:xfrm>
        <a:prstGeom prst="mathMinus">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154783</xdr:rowOff>
    </xdr:from>
    <xdr:to>
      <xdr:col>11</xdr:col>
      <xdr:colOff>440530</xdr:colOff>
      <xdr:row>34</xdr:row>
      <xdr:rowOff>166689</xdr:rowOff>
    </xdr:to>
    <xdr:graphicFrame macro="">
      <xdr:nvGraphicFramePr>
        <xdr:cNvPr id="3" name="Chart 2">
          <a:extLst>
            <a:ext uri="{FF2B5EF4-FFF2-40B4-BE49-F238E27FC236}">
              <a16:creationId xmlns:a16="http://schemas.microsoft.com/office/drawing/2014/main" id="{0EEBCB3B-F705-4220-9F23-D1A138A5B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464344</xdr:colOff>
      <xdr:row>19</xdr:row>
      <xdr:rowOff>119062</xdr:rowOff>
    </xdr:from>
    <xdr:to>
      <xdr:col>25</xdr:col>
      <xdr:colOff>500062</xdr:colOff>
      <xdr:row>35</xdr:row>
      <xdr:rowOff>95249</xdr:rowOff>
    </xdr:to>
    <xdr:graphicFrame macro="">
      <xdr:nvGraphicFramePr>
        <xdr:cNvPr id="8" name="Chart 7">
          <a:extLst>
            <a:ext uri="{FF2B5EF4-FFF2-40B4-BE49-F238E27FC236}">
              <a16:creationId xmlns:a16="http://schemas.microsoft.com/office/drawing/2014/main" id="{207AB7C1-D239-46FB-95FE-E89A1E156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404813</xdr:colOff>
      <xdr:row>17</xdr:row>
      <xdr:rowOff>117872</xdr:rowOff>
    </xdr:from>
    <xdr:to>
      <xdr:col>7</xdr:col>
      <xdr:colOff>392907</xdr:colOff>
      <xdr:row>20</xdr:row>
      <xdr:rowOff>105966</xdr:rowOff>
    </xdr:to>
    <xdr:sp macro="" textlink="">
      <xdr:nvSpPr>
        <xdr:cNvPr id="9" name="TextBox 8">
          <a:extLst>
            <a:ext uri="{FF2B5EF4-FFF2-40B4-BE49-F238E27FC236}">
              <a16:creationId xmlns:a16="http://schemas.microsoft.com/office/drawing/2014/main" id="{69A46C71-0AD3-03CC-49DA-D69F189B68C4}"/>
            </a:ext>
          </a:extLst>
        </xdr:cNvPr>
        <xdr:cNvSpPr txBox="1"/>
      </xdr:nvSpPr>
      <xdr:spPr>
        <a:xfrm>
          <a:off x="2833688" y="3356372"/>
          <a:ext cx="1809750"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Partner</a:t>
          </a:r>
          <a:r>
            <a:rPr lang="en-US" sz="2000" baseline="0">
              <a:solidFill>
                <a:schemeClr val="bg1"/>
              </a:solidFill>
              <a:latin typeface="+mj-lt"/>
            </a:rPr>
            <a:t> rating</a:t>
          </a:r>
          <a:endParaRPr lang="en-US" sz="2000">
            <a:solidFill>
              <a:schemeClr val="bg1"/>
            </a:solidFill>
            <a:latin typeface="+mj-lt"/>
          </a:endParaRPr>
        </a:p>
      </xdr:txBody>
    </xdr:sp>
    <xdr:clientData/>
  </xdr:twoCellAnchor>
  <xdr:twoCellAnchor>
    <xdr:from>
      <xdr:col>7</xdr:col>
      <xdr:colOff>142874</xdr:colOff>
      <xdr:row>18</xdr:row>
      <xdr:rowOff>11905</xdr:rowOff>
    </xdr:from>
    <xdr:to>
      <xdr:col>7</xdr:col>
      <xdr:colOff>357187</xdr:colOff>
      <xdr:row>19</xdr:row>
      <xdr:rowOff>35718</xdr:rowOff>
    </xdr:to>
    <xdr:sp macro="" textlink="">
      <xdr:nvSpPr>
        <xdr:cNvPr id="10" name="Star: 5 Points 9">
          <a:extLst>
            <a:ext uri="{FF2B5EF4-FFF2-40B4-BE49-F238E27FC236}">
              <a16:creationId xmlns:a16="http://schemas.microsoft.com/office/drawing/2014/main" id="{21740CE1-94DC-2803-CC06-54048F0A679B}"/>
            </a:ext>
          </a:extLst>
        </xdr:cNvPr>
        <xdr:cNvSpPr/>
      </xdr:nvSpPr>
      <xdr:spPr>
        <a:xfrm>
          <a:off x="4393405" y="3440905"/>
          <a:ext cx="214313" cy="214313"/>
        </a:xfrm>
        <a:prstGeom prst="star5">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414338</xdr:colOff>
      <xdr:row>17</xdr:row>
      <xdr:rowOff>105966</xdr:rowOff>
    </xdr:from>
    <xdr:to>
      <xdr:col>20</xdr:col>
      <xdr:colOff>583406</xdr:colOff>
      <xdr:row>20</xdr:row>
      <xdr:rowOff>94060</xdr:rowOff>
    </xdr:to>
    <xdr:sp macro="" textlink="">
      <xdr:nvSpPr>
        <xdr:cNvPr id="23" name="TextBox 22">
          <a:extLst>
            <a:ext uri="{FF2B5EF4-FFF2-40B4-BE49-F238E27FC236}">
              <a16:creationId xmlns:a16="http://schemas.microsoft.com/office/drawing/2014/main" id="{5691348E-5499-8975-C248-7790178A99E6}"/>
            </a:ext>
          </a:extLst>
        </xdr:cNvPr>
        <xdr:cNvSpPr txBox="1"/>
      </xdr:nvSpPr>
      <xdr:spPr>
        <a:xfrm>
          <a:off x="10737057" y="3344466"/>
          <a:ext cx="1990724"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Total shipments</a:t>
          </a:r>
        </a:p>
      </xdr:txBody>
    </xdr:sp>
    <xdr:clientData/>
  </xdr:twoCellAnchor>
  <xdr:twoCellAnchor editAs="oneCell">
    <xdr:from>
      <xdr:col>12</xdr:col>
      <xdr:colOff>250030</xdr:colOff>
      <xdr:row>13</xdr:row>
      <xdr:rowOff>107157</xdr:rowOff>
    </xdr:from>
    <xdr:to>
      <xdr:col>26</xdr:col>
      <xdr:colOff>154781</xdr:colOff>
      <xdr:row>18</xdr:row>
      <xdr:rowOff>35720</xdr:rowOff>
    </xdr:to>
    <mc:AlternateContent xmlns:mc="http://schemas.openxmlformats.org/markup-compatibility/2006" xmlns:a14="http://schemas.microsoft.com/office/drawing/2010/main">
      <mc:Choice Requires="a14">
        <xdr:graphicFrame macro="">
          <xdr:nvGraphicFramePr>
            <xdr:cNvPr id="24" name="region 2">
              <a:extLst>
                <a:ext uri="{FF2B5EF4-FFF2-40B4-BE49-F238E27FC236}">
                  <a16:creationId xmlns:a16="http://schemas.microsoft.com/office/drawing/2014/main" id="{9E7FECC9-1C99-4ACA-A768-920672BD56E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536655" y="2583657"/>
              <a:ext cx="8405814" cy="881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297655</xdr:colOff>
      <xdr:row>8</xdr:row>
      <xdr:rowOff>95251</xdr:rowOff>
    </xdr:from>
    <xdr:to>
      <xdr:col>26</xdr:col>
      <xdr:colOff>304798</xdr:colOff>
      <xdr:row>13</xdr:row>
      <xdr:rowOff>35719</xdr:rowOff>
    </xdr:to>
    <mc:AlternateContent xmlns:mc="http://schemas.openxmlformats.org/markup-compatibility/2006" xmlns:a14="http://schemas.microsoft.com/office/drawing/2010/main">
      <mc:Choice Requires="a14">
        <xdr:graphicFrame macro="">
          <xdr:nvGraphicFramePr>
            <xdr:cNvPr id="25" name="status 1">
              <a:extLst>
                <a:ext uri="{FF2B5EF4-FFF2-40B4-BE49-F238E27FC236}">
                  <a16:creationId xmlns:a16="http://schemas.microsoft.com/office/drawing/2014/main" id="{51C68EDA-DB80-4FF5-8759-F64C163A243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4263686" y="1619251"/>
              <a:ext cx="1828800" cy="89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392906</xdr:colOff>
      <xdr:row>2</xdr:row>
      <xdr:rowOff>119062</xdr:rowOff>
    </xdr:from>
    <xdr:to>
      <xdr:col>11</xdr:col>
      <xdr:colOff>35719</xdr:colOff>
      <xdr:row>4</xdr:row>
      <xdr:rowOff>154780</xdr:rowOff>
    </xdr:to>
    <xdr:sp macro="" textlink="">
      <xdr:nvSpPr>
        <xdr:cNvPr id="4" name="TextBox 3">
          <a:extLst>
            <a:ext uri="{FF2B5EF4-FFF2-40B4-BE49-F238E27FC236}">
              <a16:creationId xmlns:a16="http://schemas.microsoft.com/office/drawing/2014/main" id="{21AA010A-3932-7373-8AE1-1DE08865482A}"/>
            </a:ext>
          </a:extLst>
        </xdr:cNvPr>
        <xdr:cNvSpPr txBox="1"/>
      </xdr:nvSpPr>
      <xdr:spPr>
        <a:xfrm>
          <a:off x="4643437" y="500062"/>
          <a:ext cx="2071688" cy="416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Highest</a:t>
          </a:r>
          <a:r>
            <a:rPr lang="en-US" sz="2400" baseline="0">
              <a:solidFill>
                <a:schemeClr val="bg1"/>
              </a:solidFill>
            </a:rPr>
            <a:t> rating:</a:t>
          </a:r>
          <a:endParaRPr lang="en-US" sz="2400">
            <a:solidFill>
              <a:schemeClr val="bg1"/>
            </a:solidFill>
          </a:endParaRPr>
        </a:p>
      </xdr:txBody>
    </xdr:sp>
    <xdr:clientData/>
  </xdr:twoCellAnchor>
  <xdr:twoCellAnchor>
    <xdr:from>
      <xdr:col>10</xdr:col>
      <xdr:colOff>583404</xdr:colOff>
      <xdr:row>2</xdr:row>
      <xdr:rowOff>166688</xdr:rowOff>
    </xdr:from>
    <xdr:to>
      <xdr:col>12</xdr:col>
      <xdr:colOff>547687</xdr:colOff>
      <xdr:row>4</xdr:row>
      <xdr:rowOff>130970</xdr:rowOff>
    </xdr:to>
    <xdr:sp macro="" textlink="pivots_partners!Q28">
      <xdr:nvSpPr>
        <xdr:cNvPr id="5" name="TextBox 4">
          <a:extLst>
            <a:ext uri="{FF2B5EF4-FFF2-40B4-BE49-F238E27FC236}">
              <a16:creationId xmlns:a16="http://schemas.microsoft.com/office/drawing/2014/main" id="{B8048804-5505-8690-C3BB-BAD0694F6C97}"/>
            </a:ext>
          </a:extLst>
        </xdr:cNvPr>
        <xdr:cNvSpPr txBox="1"/>
      </xdr:nvSpPr>
      <xdr:spPr>
        <a:xfrm>
          <a:off x="6655592" y="547688"/>
          <a:ext cx="1178720" cy="345282"/>
        </a:xfrm>
        <a:prstGeom prst="rect">
          <a:avLst/>
        </a:prstGeom>
        <a:noFill/>
        <a:ln>
          <a:solidFill>
            <a:schemeClr val="tx1">
              <a:lumMod val="65000"/>
              <a:lumOff val="3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fld id="{202ABB4C-EA6F-4713-8A3C-F2423CA21AD5}" type="TxLink">
            <a:rPr lang="en-US" sz="1400" b="0" i="0" u="none" strike="noStrike">
              <a:solidFill>
                <a:schemeClr val="bg1"/>
              </a:solidFill>
              <a:latin typeface="Calibri"/>
              <a:ea typeface="Calibri"/>
              <a:cs typeface="Calibri"/>
            </a:rPr>
            <a:pPr/>
            <a:t>Fastway</a:t>
          </a:fld>
          <a:endParaRPr lang="en-US" sz="1400">
            <a:solidFill>
              <a:schemeClr val="bg1"/>
            </a:solidFill>
          </a:endParaRPr>
        </a:p>
      </xdr:txBody>
    </xdr:sp>
    <xdr:clientData/>
  </xdr:twoCellAnchor>
  <xdr:twoCellAnchor>
    <xdr:from>
      <xdr:col>12</xdr:col>
      <xdr:colOff>545306</xdr:colOff>
      <xdr:row>2</xdr:row>
      <xdr:rowOff>164307</xdr:rowOff>
    </xdr:from>
    <xdr:to>
      <xdr:col>14</xdr:col>
      <xdr:colOff>119062</xdr:colOff>
      <xdr:row>4</xdr:row>
      <xdr:rowOff>130969</xdr:rowOff>
    </xdr:to>
    <xdr:sp macro="" textlink="pivots_partners!P28">
      <xdr:nvSpPr>
        <xdr:cNvPr id="6" name="TextBox 5">
          <a:extLst>
            <a:ext uri="{FF2B5EF4-FFF2-40B4-BE49-F238E27FC236}">
              <a16:creationId xmlns:a16="http://schemas.microsoft.com/office/drawing/2014/main" id="{725132D5-0670-0E7A-696C-E8964898D881}"/>
            </a:ext>
          </a:extLst>
        </xdr:cNvPr>
        <xdr:cNvSpPr txBox="1"/>
      </xdr:nvSpPr>
      <xdr:spPr>
        <a:xfrm>
          <a:off x="7831931" y="545307"/>
          <a:ext cx="788194" cy="347662"/>
        </a:xfrm>
        <a:prstGeom prst="rect">
          <a:avLst/>
        </a:prstGeom>
        <a:noFill/>
        <a:ln>
          <a:solidFill>
            <a:schemeClr val="tx1">
              <a:lumMod val="65000"/>
              <a:lumOff val="3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fld id="{8FA6079E-ACAF-42FD-A7FB-3D1FBCB7D5FF}" type="TxLink">
            <a:rPr lang="en-US" sz="1400" b="0" i="0" u="none" strike="noStrike">
              <a:solidFill>
                <a:schemeClr val="bg1"/>
              </a:solidFill>
              <a:latin typeface="Calibri"/>
              <a:ea typeface="Calibri"/>
              <a:cs typeface="Calibri"/>
            </a:rPr>
            <a:pPr/>
            <a:t>4.29</a:t>
          </a:fld>
          <a:endParaRPr lang="en-US" sz="1400">
            <a:solidFill>
              <a:schemeClr val="bg1"/>
            </a:solidFill>
          </a:endParaRPr>
        </a:p>
      </xdr:txBody>
    </xdr:sp>
    <xdr:clientData/>
  </xdr:twoCellAnchor>
  <xdr:twoCellAnchor>
    <xdr:from>
      <xdr:col>13</xdr:col>
      <xdr:colOff>414335</xdr:colOff>
      <xdr:row>3</xdr:row>
      <xdr:rowOff>21429</xdr:rowOff>
    </xdr:from>
    <xdr:to>
      <xdr:col>14</xdr:col>
      <xdr:colOff>21429</xdr:colOff>
      <xdr:row>4</xdr:row>
      <xdr:rowOff>45242</xdr:rowOff>
    </xdr:to>
    <xdr:sp macro="" textlink="">
      <xdr:nvSpPr>
        <xdr:cNvPr id="7" name="Star: 5 Points 6">
          <a:extLst>
            <a:ext uri="{FF2B5EF4-FFF2-40B4-BE49-F238E27FC236}">
              <a16:creationId xmlns:a16="http://schemas.microsoft.com/office/drawing/2014/main" id="{2BB52DFE-F4A1-5934-A040-470D5CB44A5D}"/>
            </a:ext>
          </a:extLst>
        </xdr:cNvPr>
        <xdr:cNvSpPr/>
      </xdr:nvSpPr>
      <xdr:spPr>
        <a:xfrm>
          <a:off x="8308179" y="592929"/>
          <a:ext cx="214313" cy="214313"/>
        </a:xfrm>
        <a:prstGeom prst="star5">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59531</xdr:colOff>
      <xdr:row>1</xdr:row>
      <xdr:rowOff>23813</xdr:rowOff>
    </xdr:from>
    <xdr:to>
      <xdr:col>26</xdr:col>
      <xdr:colOff>202406</xdr:colOff>
      <xdr:row>8</xdr:row>
      <xdr:rowOff>11906</xdr:rowOff>
    </xdr:to>
    <xdr:graphicFrame macro="">
      <xdr:nvGraphicFramePr>
        <xdr:cNvPr id="20" name="Chart 19">
          <a:extLst>
            <a:ext uri="{FF2B5EF4-FFF2-40B4-BE49-F238E27FC236}">
              <a16:creationId xmlns:a16="http://schemas.microsoft.com/office/drawing/2014/main" id="{066EA42D-1853-4E90-99C3-3DA15FA52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345282</xdr:colOff>
      <xdr:row>2</xdr:row>
      <xdr:rowOff>170326</xdr:rowOff>
    </xdr:from>
    <xdr:to>
      <xdr:col>24</xdr:col>
      <xdr:colOff>392907</xdr:colOff>
      <xdr:row>6</xdr:row>
      <xdr:rowOff>59530</xdr:rowOff>
    </xdr:to>
    <xdr:pic>
      <xdr:nvPicPr>
        <xdr:cNvPr id="22" name="Picture 21">
          <a:extLst>
            <a:ext uri="{FF2B5EF4-FFF2-40B4-BE49-F238E27FC236}">
              <a16:creationId xmlns:a16="http://schemas.microsoft.com/office/drawing/2014/main" id="{BD1A09F8-AF33-4F36-8985-D55E459C3A3E}"/>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311313" y="551326"/>
          <a:ext cx="654844" cy="651204"/>
        </a:xfrm>
        <a:prstGeom prst="rect">
          <a:avLst/>
        </a:prstGeom>
      </xdr:spPr>
    </xdr:pic>
    <xdr:clientData/>
  </xdr:twoCellAnchor>
  <xdr:twoCellAnchor>
    <xdr:from>
      <xdr:col>20</xdr:col>
      <xdr:colOff>321469</xdr:colOff>
      <xdr:row>17</xdr:row>
      <xdr:rowOff>154781</xdr:rowOff>
    </xdr:from>
    <xdr:to>
      <xdr:col>22</xdr:col>
      <xdr:colOff>142874</xdr:colOff>
      <xdr:row>19</xdr:row>
      <xdr:rowOff>73818</xdr:rowOff>
    </xdr:to>
    <xdr:sp macro="" textlink="pivots_partners!$D$4">
      <xdr:nvSpPr>
        <xdr:cNvPr id="26" name="TextBox 25">
          <a:extLst>
            <a:ext uri="{FF2B5EF4-FFF2-40B4-BE49-F238E27FC236}">
              <a16:creationId xmlns:a16="http://schemas.microsoft.com/office/drawing/2014/main" id="{B01A85B9-091E-4720-A084-7A9300FE6EF8}"/>
            </a:ext>
          </a:extLst>
        </xdr:cNvPr>
        <xdr:cNvSpPr txBox="1"/>
      </xdr:nvSpPr>
      <xdr:spPr>
        <a:xfrm>
          <a:off x="12465844" y="3393281"/>
          <a:ext cx="1035843" cy="300037"/>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fld id="{01756E67-AD28-4CBB-B401-710C06281488}" type="TxLink">
            <a:rPr lang="en-US" sz="1600" b="0" i="0" u="none" strike="noStrike">
              <a:solidFill>
                <a:schemeClr val="bg1"/>
              </a:solidFill>
              <a:latin typeface="Calibri"/>
              <a:ea typeface="Calibri"/>
              <a:cs typeface="Calibri"/>
            </a:rPr>
            <a:pPr/>
            <a:t> 83,267 </a:t>
          </a:fld>
          <a:endParaRPr lang="en-US" sz="1800">
            <a:solidFill>
              <a:schemeClr val="bg1"/>
            </a:solidFill>
          </a:endParaRPr>
        </a:p>
      </xdr:txBody>
    </xdr:sp>
    <xdr:clientData/>
  </xdr:twoCellAnchor>
  <xdr:twoCellAnchor>
    <xdr:from>
      <xdr:col>17</xdr:col>
      <xdr:colOff>345281</xdr:colOff>
      <xdr:row>19</xdr:row>
      <xdr:rowOff>83345</xdr:rowOff>
    </xdr:from>
    <xdr:to>
      <xdr:col>22</xdr:col>
      <xdr:colOff>35718</xdr:colOff>
      <xdr:row>19</xdr:row>
      <xdr:rowOff>83345</xdr:rowOff>
    </xdr:to>
    <xdr:cxnSp macro="">
      <xdr:nvCxnSpPr>
        <xdr:cNvPr id="28" name="Straight Connector 27">
          <a:extLst>
            <a:ext uri="{FF2B5EF4-FFF2-40B4-BE49-F238E27FC236}">
              <a16:creationId xmlns:a16="http://schemas.microsoft.com/office/drawing/2014/main" id="{0914BEB7-A1D2-8313-8198-78A9C9942CEE}"/>
            </a:ext>
          </a:extLst>
        </xdr:cNvPr>
        <xdr:cNvCxnSpPr/>
      </xdr:nvCxnSpPr>
      <xdr:spPr>
        <a:xfrm>
          <a:off x="10668000" y="3702845"/>
          <a:ext cx="272653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71436</xdr:colOff>
      <xdr:row>1</xdr:row>
      <xdr:rowOff>119062</xdr:rowOff>
    </xdr:from>
    <xdr:to>
      <xdr:col>6</xdr:col>
      <xdr:colOff>285749</xdr:colOff>
      <xdr:row>16</xdr:row>
      <xdr:rowOff>119062</xdr:rowOff>
    </xdr:to>
    <xdr:sp macro="" textlink="">
      <xdr:nvSpPr>
        <xdr:cNvPr id="31" name="Rectangle: Rounded Corners 30">
          <a:extLst>
            <a:ext uri="{FF2B5EF4-FFF2-40B4-BE49-F238E27FC236}">
              <a16:creationId xmlns:a16="http://schemas.microsoft.com/office/drawing/2014/main" id="{97A32C82-6BCF-CE4C-FF82-84FA7C1AF42E}"/>
            </a:ext>
          </a:extLst>
        </xdr:cNvPr>
        <xdr:cNvSpPr/>
      </xdr:nvSpPr>
      <xdr:spPr>
        <a:xfrm>
          <a:off x="71436" y="309562"/>
          <a:ext cx="3857626" cy="2857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lumMod val="60000"/>
                  <a:lumOff val="40000"/>
                </a:schemeClr>
              </a:solidFill>
            </a:rPr>
            <a:t>VMX</a:t>
          </a:r>
          <a:r>
            <a:rPr lang="en-US" sz="1600" baseline="0">
              <a:solidFill>
                <a:schemeClr val="accent1">
                  <a:lumMod val="60000"/>
                  <a:lumOff val="40000"/>
                </a:schemeClr>
              </a:solidFill>
            </a:rPr>
            <a:t>  Store currently works with 20 global  shipping partners across 7 regions  worldwide.</a:t>
          </a:r>
        </a:p>
        <a:p>
          <a:pPr algn="l"/>
          <a:endParaRPr lang="en-US" sz="1100" baseline="0">
            <a:solidFill>
              <a:schemeClr val="accent1">
                <a:lumMod val="60000"/>
                <a:lumOff val="40000"/>
              </a:schemeClr>
            </a:solidFill>
          </a:endParaRPr>
        </a:p>
        <a:p>
          <a:pPr algn="l"/>
          <a:endParaRPr lang="en-US" sz="1100" baseline="0"/>
        </a:p>
        <a:p>
          <a:pPr algn="l"/>
          <a:endParaRPr lang="en-US" sz="1100" baseline="0"/>
        </a:p>
        <a:p>
          <a:pPr algn="l"/>
          <a:r>
            <a:rPr lang="en-US" sz="1600" baseline="0"/>
            <a:t>Partners are evaluated daily based on:</a:t>
          </a:r>
        </a:p>
        <a:p>
          <a:pPr algn="l"/>
          <a:endParaRPr lang="en-US" sz="1200" baseline="0"/>
        </a:p>
        <a:p>
          <a:pPr algn="l"/>
          <a:r>
            <a:rPr lang="en-US" sz="1200" baseline="0"/>
            <a:t>- Shipment volume</a:t>
          </a:r>
        </a:p>
        <a:p>
          <a:pPr algn="l"/>
          <a:r>
            <a:rPr lang="en-US" sz="1200" baseline="0"/>
            <a:t>- Average  delivery time</a:t>
          </a:r>
        </a:p>
        <a:p>
          <a:pPr algn="l"/>
          <a:r>
            <a:rPr lang="en-US" sz="1200" baseline="0"/>
            <a:t>- Cost efficiency</a:t>
          </a:r>
        </a:p>
        <a:p>
          <a:pPr algn="l"/>
          <a:r>
            <a:rPr lang="en-US" sz="1200" baseline="0"/>
            <a:t>- Customer satisfaction rating</a:t>
          </a:r>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561975</xdr:colOff>
      <xdr:row>1</xdr:row>
      <xdr:rowOff>93662</xdr:rowOff>
    </xdr:to>
    <xdr:grpSp>
      <xdr:nvGrpSpPr>
        <xdr:cNvPr id="2" name="Group 1">
          <a:extLst>
            <a:ext uri="{FF2B5EF4-FFF2-40B4-BE49-F238E27FC236}">
              <a16:creationId xmlns:a16="http://schemas.microsoft.com/office/drawing/2014/main" id="{97F9C3F0-C1AC-4BC6-ADCF-685BABDE5208}"/>
            </a:ext>
          </a:extLst>
        </xdr:cNvPr>
        <xdr:cNvGrpSpPr/>
      </xdr:nvGrpSpPr>
      <xdr:grpSpPr>
        <a:xfrm>
          <a:off x="0" y="0"/>
          <a:ext cx="16956881" cy="284162"/>
          <a:chOff x="0" y="0"/>
          <a:chExt cx="16956881" cy="284162"/>
        </a:xfrm>
      </xdr:grpSpPr>
      <xdr:sp macro="" textlink="">
        <xdr:nvSpPr>
          <xdr:cNvPr id="3" name="Rectangle 2">
            <a:extLst>
              <a:ext uri="{FF2B5EF4-FFF2-40B4-BE49-F238E27FC236}">
                <a16:creationId xmlns:a16="http://schemas.microsoft.com/office/drawing/2014/main" id="{B7B586A2-9E31-050F-66CD-3CEDBEECFE56}"/>
              </a:ext>
            </a:extLst>
          </xdr:cNvPr>
          <xdr:cNvSpPr/>
        </xdr:nvSpPr>
        <xdr:spPr>
          <a:xfrm>
            <a:off x="11906" y="0"/>
            <a:ext cx="16944975" cy="2571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6E281323-4677-0178-2B50-85E80313733F}"/>
              </a:ext>
            </a:extLst>
          </xdr:cNvPr>
          <xdr:cNvSpPr txBox="1"/>
        </xdr:nvSpPr>
        <xdr:spPr>
          <a:xfrm>
            <a:off x="238125" y="0"/>
            <a:ext cx="964406" cy="22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VMX</a:t>
            </a:r>
            <a:r>
              <a:rPr lang="en-US" sz="1200" b="1" baseline="0">
                <a:solidFill>
                  <a:schemeClr val="bg1"/>
                </a:solidFill>
              </a:rPr>
              <a:t> store</a:t>
            </a:r>
            <a:endParaRPr lang="en-US" sz="1200" b="1">
              <a:solidFill>
                <a:schemeClr val="bg1"/>
              </a:solidFill>
            </a:endParaRPr>
          </a:p>
        </xdr:txBody>
      </xdr:sp>
      <xdr:pic>
        <xdr:nvPicPr>
          <xdr:cNvPr id="5" name="Picture 4">
            <a:extLst>
              <a:ext uri="{FF2B5EF4-FFF2-40B4-BE49-F238E27FC236}">
                <a16:creationId xmlns:a16="http://schemas.microsoft.com/office/drawing/2014/main" id="{14128D00-2B31-33EB-BC93-34D749576A2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2"/>
            <a:ext cx="285748" cy="284160"/>
          </a:xfrm>
          <a:prstGeom prst="rect">
            <a:avLst/>
          </a:prstGeom>
        </xdr:spPr>
      </xdr:pic>
      <xdr:sp macro="" textlink="">
        <xdr:nvSpPr>
          <xdr:cNvPr id="6" name="TextBox 5">
            <a:hlinkClick xmlns:r="http://schemas.openxmlformats.org/officeDocument/2006/relationships" r:id="rId3"/>
            <a:extLst>
              <a:ext uri="{FF2B5EF4-FFF2-40B4-BE49-F238E27FC236}">
                <a16:creationId xmlns:a16="http://schemas.microsoft.com/office/drawing/2014/main" id="{06173A4F-DE5A-FE3D-664C-FB05D43B05A7}"/>
              </a:ext>
            </a:extLst>
          </xdr:cNvPr>
          <xdr:cNvSpPr txBox="1"/>
        </xdr:nvSpPr>
        <xdr:spPr>
          <a:xfrm>
            <a:off x="15166180" y="0"/>
            <a:ext cx="964406"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About</a:t>
            </a:r>
          </a:p>
        </xdr:txBody>
      </xdr:sp>
      <xdr:sp macro="" textlink="">
        <xdr:nvSpPr>
          <xdr:cNvPr id="7" name="TextBox 6">
            <a:hlinkClick xmlns:r="http://schemas.openxmlformats.org/officeDocument/2006/relationships" r:id="rId4"/>
            <a:extLst>
              <a:ext uri="{FF2B5EF4-FFF2-40B4-BE49-F238E27FC236}">
                <a16:creationId xmlns:a16="http://schemas.microsoft.com/office/drawing/2014/main" id="{AB6A2992-32BA-9A0E-54FC-32B0841D4000}"/>
              </a:ext>
            </a:extLst>
          </xdr:cNvPr>
          <xdr:cNvSpPr txBox="1"/>
        </xdr:nvSpPr>
        <xdr:spPr>
          <a:xfrm>
            <a:off x="14085891" y="0"/>
            <a:ext cx="7560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Products			</a:t>
            </a:r>
          </a:p>
        </xdr:txBody>
      </xdr:sp>
      <xdr:sp macro="" textlink="">
        <xdr:nvSpPr>
          <xdr:cNvPr id="8" name="TextBox 7">
            <a:hlinkClick xmlns:r="http://schemas.openxmlformats.org/officeDocument/2006/relationships" r:id="rId5"/>
            <a:extLst>
              <a:ext uri="{FF2B5EF4-FFF2-40B4-BE49-F238E27FC236}">
                <a16:creationId xmlns:a16="http://schemas.microsoft.com/office/drawing/2014/main" id="{4310C67F-7873-05B9-B2AF-E01972C9D7AB}"/>
              </a:ext>
            </a:extLst>
          </xdr:cNvPr>
          <xdr:cNvSpPr txBox="1"/>
        </xdr:nvSpPr>
        <xdr:spPr>
          <a:xfrm>
            <a:off x="12891291" y="9525"/>
            <a:ext cx="1273969" cy="21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Partners</a:t>
            </a:r>
            <a:r>
              <a:rPr lang="en-US" sz="1200" b="1">
                <a:solidFill>
                  <a:schemeClr val="bg1"/>
                </a:solidFill>
              </a:rPr>
              <a:t>			</a:t>
            </a:r>
          </a:p>
        </xdr:txBody>
      </xdr:sp>
      <xdr:sp macro="" textlink="">
        <xdr:nvSpPr>
          <xdr:cNvPr id="9" name="TextBox 8">
            <a:hlinkClick xmlns:r="http://schemas.openxmlformats.org/officeDocument/2006/relationships" r:id="rId6"/>
            <a:extLst>
              <a:ext uri="{FF2B5EF4-FFF2-40B4-BE49-F238E27FC236}">
                <a16:creationId xmlns:a16="http://schemas.microsoft.com/office/drawing/2014/main" id="{9E140E1E-1122-59CF-4354-8F6552FD29A5}"/>
              </a:ext>
            </a:extLst>
          </xdr:cNvPr>
          <xdr:cNvSpPr txBox="1"/>
        </xdr:nvSpPr>
        <xdr:spPr>
          <a:xfrm>
            <a:off x="11846718" y="11906"/>
            <a:ext cx="62388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Menu			</a:t>
            </a:r>
          </a:p>
        </xdr:txBody>
      </xdr:sp>
    </xdr:grpSp>
    <xdr:clientData/>
  </xdr:twoCellAnchor>
  <xdr:twoCellAnchor>
    <xdr:from>
      <xdr:col>23</xdr:col>
      <xdr:colOff>55737</xdr:colOff>
      <xdr:row>1</xdr:row>
      <xdr:rowOff>34167</xdr:rowOff>
    </xdr:from>
    <xdr:to>
      <xdr:col>24</xdr:col>
      <xdr:colOff>308941</xdr:colOff>
      <xdr:row>1</xdr:row>
      <xdr:rowOff>70167</xdr:rowOff>
    </xdr:to>
    <xdr:sp macro="" textlink="">
      <xdr:nvSpPr>
        <xdr:cNvPr id="12" name="Minus Sign 11">
          <a:extLst>
            <a:ext uri="{FF2B5EF4-FFF2-40B4-BE49-F238E27FC236}">
              <a16:creationId xmlns:a16="http://schemas.microsoft.com/office/drawing/2014/main" id="{E0E001DC-B849-BE43-D379-35CDDA4E34AF}"/>
            </a:ext>
          </a:extLst>
        </xdr:cNvPr>
        <xdr:cNvSpPr/>
      </xdr:nvSpPr>
      <xdr:spPr>
        <a:xfrm>
          <a:off x="14104044" y="226376"/>
          <a:ext cx="864000" cy="36000"/>
        </a:xfrm>
        <a:prstGeom prst="mathMinus">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561975</xdr:colOff>
      <xdr:row>1</xdr:row>
      <xdr:rowOff>93662</xdr:rowOff>
    </xdr:to>
    <xdr:grpSp>
      <xdr:nvGrpSpPr>
        <xdr:cNvPr id="2" name="Group 1">
          <a:extLst>
            <a:ext uri="{FF2B5EF4-FFF2-40B4-BE49-F238E27FC236}">
              <a16:creationId xmlns:a16="http://schemas.microsoft.com/office/drawing/2014/main" id="{55A5DA4A-0A62-4264-85B1-36FDC15D9A89}"/>
            </a:ext>
          </a:extLst>
        </xdr:cNvPr>
        <xdr:cNvGrpSpPr/>
      </xdr:nvGrpSpPr>
      <xdr:grpSpPr>
        <a:xfrm>
          <a:off x="0" y="0"/>
          <a:ext cx="16956881" cy="284162"/>
          <a:chOff x="0" y="0"/>
          <a:chExt cx="16956881" cy="284162"/>
        </a:xfrm>
      </xdr:grpSpPr>
      <xdr:sp macro="" textlink="">
        <xdr:nvSpPr>
          <xdr:cNvPr id="3" name="Rectangle 2">
            <a:extLst>
              <a:ext uri="{FF2B5EF4-FFF2-40B4-BE49-F238E27FC236}">
                <a16:creationId xmlns:a16="http://schemas.microsoft.com/office/drawing/2014/main" id="{734EAB46-E167-2ED6-BE51-E48BB8CDC345}"/>
              </a:ext>
            </a:extLst>
          </xdr:cNvPr>
          <xdr:cNvSpPr/>
        </xdr:nvSpPr>
        <xdr:spPr>
          <a:xfrm>
            <a:off x="11906" y="0"/>
            <a:ext cx="16944975" cy="2571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09D19C3E-70F7-5B8D-A7D5-A09091A1A5A1}"/>
              </a:ext>
            </a:extLst>
          </xdr:cNvPr>
          <xdr:cNvSpPr txBox="1"/>
        </xdr:nvSpPr>
        <xdr:spPr>
          <a:xfrm>
            <a:off x="238125" y="0"/>
            <a:ext cx="964406" cy="22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VMX</a:t>
            </a:r>
            <a:r>
              <a:rPr lang="en-US" sz="1200" b="1" baseline="0">
                <a:solidFill>
                  <a:schemeClr val="bg1"/>
                </a:solidFill>
              </a:rPr>
              <a:t> store</a:t>
            </a:r>
            <a:endParaRPr lang="en-US" sz="1200" b="1">
              <a:solidFill>
                <a:schemeClr val="bg1"/>
              </a:solidFill>
            </a:endParaRPr>
          </a:p>
        </xdr:txBody>
      </xdr:sp>
      <xdr:pic>
        <xdr:nvPicPr>
          <xdr:cNvPr id="5" name="Picture 4">
            <a:extLst>
              <a:ext uri="{FF2B5EF4-FFF2-40B4-BE49-F238E27FC236}">
                <a16:creationId xmlns:a16="http://schemas.microsoft.com/office/drawing/2014/main" id="{42B5445A-60D8-56B8-8947-789CA818B3B1}"/>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2"/>
            <a:ext cx="285748" cy="284160"/>
          </a:xfrm>
          <a:prstGeom prst="rect">
            <a:avLst/>
          </a:prstGeom>
        </xdr:spPr>
      </xdr:pic>
      <xdr:sp macro="" textlink="">
        <xdr:nvSpPr>
          <xdr:cNvPr id="6" name="TextBox 5">
            <a:hlinkClick xmlns:r="http://schemas.openxmlformats.org/officeDocument/2006/relationships" r:id="rId3"/>
            <a:extLst>
              <a:ext uri="{FF2B5EF4-FFF2-40B4-BE49-F238E27FC236}">
                <a16:creationId xmlns:a16="http://schemas.microsoft.com/office/drawing/2014/main" id="{F063EDFC-5A89-F46F-77C4-02F1B9B82742}"/>
              </a:ext>
            </a:extLst>
          </xdr:cNvPr>
          <xdr:cNvSpPr txBox="1"/>
        </xdr:nvSpPr>
        <xdr:spPr>
          <a:xfrm>
            <a:off x="15166180" y="0"/>
            <a:ext cx="964406"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About</a:t>
            </a:r>
          </a:p>
        </xdr:txBody>
      </xdr:sp>
      <xdr:sp macro="" textlink="">
        <xdr:nvSpPr>
          <xdr:cNvPr id="7" name="TextBox 6">
            <a:hlinkClick xmlns:r="http://schemas.openxmlformats.org/officeDocument/2006/relationships" r:id="rId4"/>
            <a:extLst>
              <a:ext uri="{FF2B5EF4-FFF2-40B4-BE49-F238E27FC236}">
                <a16:creationId xmlns:a16="http://schemas.microsoft.com/office/drawing/2014/main" id="{9C9DAA26-0175-BDEF-398A-988A5E292924}"/>
              </a:ext>
            </a:extLst>
          </xdr:cNvPr>
          <xdr:cNvSpPr txBox="1"/>
        </xdr:nvSpPr>
        <xdr:spPr>
          <a:xfrm>
            <a:off x="14085891" y="0"/>
            <a:ext cx="7560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Products			</a:t>
            </a:r>
          </a:p>
        </xdr:txBody>
      </xdr:sp>
      <xdr:sp macro="" textlink="">
        <xdr:nvSpPr>
          <xdr:cNvPr id="8" name="TextBox 7">
            <a:hlinkClick xmlns:r="http://schemas.openxmlformats.org/officeDocument/2006/relationships" r:id="rId5"/>
            <a:extLst>
              <a:ext uri="{FF2B5EF4-FFF2-40B4-BE49-F238E27FC236}">
                <a16:creationId xmlns:a16="http://schemas.microsoft.com/office/drawing/2014/main" id="{CAE1CB00-6307-3FF8-BB82-61791FD7FD90}"/>
              </a:ext>
            </a:extLst>
          </xdr:cNvPr>
          <xdr:cNvSpPr txBox="1"/>
        </xdr:nvSpPr>
        <xdr:spPr>
          <a:xfrm>
            <a:off x="12891289" y="9525"/>
            <a:ext cx="1273969" cy="21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Partners</a:t>
            </a:r>
          </a:p>
          <a:p>
            <a:r>
              <a:rPr lang="en-US" sz="1200" b="1">
                <a:solidFill>
                  <a:schemeClr val="bg1"/>
                </a:solidFill>
              </a:rPr>
              <a:t>		</a:t>
            </a:r>
          </a:p>
        </xdr:txBody>
      </xdr:sp>
      <xdr:sp macro="" textlink="">
        <xdr:nvSpPr>
          <xdr:cNvPr id="9" name="TextBox 8">
            <a:hlinkClick xmlns:r="http://schemas.openxmlformats.org/officeDocument/2006/relationships" r:id="rId6"/>
            <a:extLst>
              <a:ext uri="{FF2B5EF4-FFF2-40B4-BE49-F238E27FC236}">
                <a16:creationId xmlns:a16="http://schemas.microsoft.com/office/drawing/2014/main" id="{F410AF2B-855E-6B72-EAA7-D9588BCC7661}"/>
              </a:ext>
            </a:extLst>
          </xdr:cNvPr>
          <xdr:cNvSpPr txBox="1"/>
        </xdr:nvSpPr>
        <xdr:spPr>
          <a:xfrm>
            <a:off x="11846718" y="11906"/>
            <a:ext cx="62388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Menu			</a:t>
            </a:r>
          </a:p>
        </xdr:txBody>
      </xdr:sp>
    </xdr:grpSp>
    <xdr:clientData/>
  </xdr:twoCellAnchor>
  <xdr:twoCellAnchor>
    <xdr:from>
      <xdr:col>24</xdr:col>
      <xdr:colOff>502606</xdr:colOff>
      <xdr:row>1</xdr:row>
      <xdr:rowOff>35145</xdr:rowOff>
    </xdr:from>
    <xdr:to>
      <xdr:col>26</xdr:col>
      <xdr:colOff>42499</xdr:colOff>
      <xdr:row>1</xdr:row>
      <xdr:rowOff>71145</xdr:rowOff>
    </xdr:to>
    <xdr:sp macro="" textlink="">
      <xdr:nvSpPr>
        <xdr:cNvPr id="12" name="Minus Sign 11">
          <a:extLst>
            <a:ext uri="{FF2B5EF4-FFF2-40B4-BE49-F238E27FC236}">
              <a16:creationId xmlns:a16="http://schemas.microsoft.com/office/drawing/2014/main" id="{83DA698F-457F-4A5F-A1F7-A749E7234B9A}"/>
            </a:ext>
          </a:extLst>
        </xdr:cNvPr>
        <xdr:cNvSpPr/>
      </xdr:nvSpPr>
      <xdr:spPr>
        <a:xfrm>
          <a:off x="15095890" y="224942"/>
          <a:ext cx="756000" cy="36000"/>
        </a:xfrm>
        <a:prstGeom prst="mathMinus">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476251</xdr:colOff>
      <xdr:row>1</xdr:row>
      <xdr:rowOff>71436</xdr:rowOff>
    </xdr:from>
    <xdr:to>
      <xdr:col>26</xdr:col>
      <xdr:colOff>381001</xdr:colOff>
      <xdr:row>16</xdr:row>
      <xdr:rowOff>107155</xdr:rowOff>
    </xdr:to>
    <xdr:grpSp>
      <xdr:nvGrpSpPr>
        <xdr:cNvPr id="10" name="Group 9">
          <a:extLst>
            <a:ext uri="{FF2B5EF4-FFF2-40B4-BE49-F238E27FC236}">
              <a16:creationId xmlns:a16="http://schemas.microsoft.com/office/drawing/2014/main" id="{7EE6A07A-4D42-4583-A1AF-AF1C07F78ED9}"/>
            </a:ext>
          </a:extLst>
        </xdr:cNvPr>
        <xdr:cNvGrpSpPr/>
      </xdr:nvGrpSpPr>
      <xdr:grpSpPr>
        <a:xfrm>
          <a:off x="13227845" y="261936"/>
          <a:ext cx="2940844" cy="2893219"/>
          <a:chOff x="12215812" y="392909"/>
          <a:chExt cx="3595695" cy="2452685"/>
        </a:xfrm>
      </xdr:grpSpPr>
      <xdr:sp macro="" textlink="">
        <xdr:nvSpPr>
          <xdr:cNvPr id="11" name="Flowchart: Alternate Process 10">
            <a:extLst>
              <a:ext uri="{FF2B5EF4-FFF2-40B4-BE49-F238E27FC236}">
                <a16:creationId xmlns:a16="http://schemas.microsoft.com/office/drawing/2014/main" id="{65A5B39C-D6A4-C3CE-8D37-D1B52CA74BF7}"/>
              </a:ext>
            </a:extLst>
          </xdr:cNvPr>
          <xdr:cNvSpPr/>
        </xdr:nvSpPr>
        <xdr:spPr>
          <a:xfrm>
            <a:off x="12215812" y="392909"/>
            <a:ext cx="3595695" cy="2452685"/>
          </a:xfrm>
          <a:prstGeom prst="flowChartAlternateProcess">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sng">
                <a:solidFill>
                  <a:schemeClr val="accent2">
                    <a:lumMod val="50000"/>
                  </a:schemeClr>
                </a:solidFill>
              </a:rPr>
              <a:t>Registration Notice!</a:t>
            </a:r>
          </a:p>
          <a:p>
            <a:pPr algn="l"/>
            <a:endParaRPr lang="en-US" sz="1050"/>
          </a:p>
          <a:p>
            <a:pPr algn="l"/>
            <a:r>
              <a:rPr lang="en-US" sz="1050" b="1" i="1"/>
              <a:t>VMX store is currently in BETA</a:t>
            </a:r>
            <a:r>
              <a:rPr lang="en-US" sz="1050" b="1" i="1" baseline="0"/>
              <a:t> launch phase. Customer registrations are limited to :</a:t>
            </a:r>
          </a:p>
          <a:p>
            <a:pPr algn="l"/>
            <a:endParaRPr lang="en-US" sz="1050" baseline="0"/>
          </a:p>
          <a:p>
            <a:pPr algn="ctr"/>
            <a:r>
              <a:rPr lang="en-US" sz="1200" i="1">
                <a:solidFill>
                  <a:schemeClr val="accent2">
                    <a:lumMod val="75000"/>
                  </a:schemeClr>
                </a:solidFill>
              </a:rPr>
              <a:t>12:00 PM  -  2:00 PM</a:t>
            </a:r>
            <a:r>
              <a:rPr lang="en-US" sz="1050">
                <a:solidFill>
                  <a:schemeClr val="accent2">
                    <a:lumMod val="75000"/>
                  </a:schemeClr>
                </a:solidFill>
              </a:rPr>
              <a:t> </a:t>
            </a:r>
            <a:r>
              <a:rPr lang="en-US" sz="1200">
                <a:solidFill>
                  <a:schemeClr val="accent2">
                    <a:lumMod val="75000"/>
                  </a:schemeClr>
                </a:solidFill>
              </a:rPr>
              <a:t>daily (for 100 users only)</a:t>
            </a:r>
          </a:p>
          <a:p>
            <a:pPr algn="l"/>
            <a:endParaRPr lang="en-US" sz="1200"/>
          </a:p>
          <a:p>
            <a:pPr algn="l"/>
            <a:r>
              <a:rPr lang="en-US" sz="1050" b="1" i="1">
                <a:solidFill>
                  <a:srgbClr val="FF0000"/>
                </a:solidFill>
              </a:rPr>
              <a:t>This ensures system stability during our growth period. </a:t>
            </a:r>
          </a:p>
          <a:p>
            <a:pPr algn="l"/>
            <a:endParaRPr lang="en-US" sz="1100" b="1" i="1"/>
          </a:p>
          <a:p>
            <a:pPr algn="l"/>
            <a:endParaRPr lang="en-US" sz="1100" b="1" i="1"/>
          </a:p>
          <a:p>
            <a:pPr algn="l"/>
            <a:r>
              <a:rPr lang="en-US" sz="1200" b="1">
                <a:solidFill>
                  <a:srgbClr val="00B050"/>
                </a:solidFill>
              </a:rPr>
              <a:t>We appreciate your patience! ---</a:t>
            </a:r>
            <a:r>
              <a:rPr lang="en-US" sz="1200" b="1" baseline="0">
                <a:solidFill>
                  <a:srgbClr val="00B050"/>
                </a:solidFill>
              </a:rPr>
              <a:t> VMX teach team</a:t>
            </a:r>
            <a:endParaRPr lang="en-US" sz="1200" b="1">
              <a:solidFill>
                <a:srgbClr val="00B050"/>
              </a:solidFill>
            </a:endParaRPr>
          </a:p>
        </xdr:txBody>
      </xdr:sp>
      <xdr:sp macro="" textlink="">
        <xdr:nvSpPr>
          <xdr:cNvPr id="13" name="TextBox 12">
            <a:extLst>
              <a:ext uri="{FF2B5EF4-FFF2-40B4-BE49-F238E27FC236}">
                <a16:creationId xmlns:a16="http://schemas.microsoft.com/office/drawing/2014/main" id="{CBAAD7C9-7F24-D225-2C30-00C321F49723}"/>
              </a:ext>
            </a:extLst>
          </xdr:cNvPr>
          <xdr:cNvSpPr txBox="1"/>
        </xdr:nvSpPr>
        <xdr:spPr>
          <a:xfrm>
            <a:off x="12837738" y="500061"/>
            <a:ext cx="500063"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a:t>
            </a:r>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490021296297" backgroundQuery="1" createdVersion="8" refreshedVersion="8" minRefreshableVersion="3" recordCount="280" xr:uid="{9723C54C-3F9A-4A6F-8EB6-01D175B3C11B}">
  <cacheSource type="external" connectionId="5"/>
  <cacheFields count="11">
    <cacheField name="id" numFmtId="0">
      <sharedItems containsSemiMixedTypes="0" containsString="0" containsNumber="1" containsInteger="1" minValue="1" maxValue="280"/>
    </cacheField>
    <cacheField name="partner_name" numFmtId="0">
      <sharedItems count="20">
        <s v="DHL Express"/>
        <s v="FedEx"/>
        <s v="UPS"/>
        <s v="Aramex"/>
        <s v="TNT Express"/>
        <s v="Japan Post"/>
        <s v="Australia Post"/>
        <s v="Correios"/>
        <s v="South African Post"/>
        <s v="Canada Post"/>
        <s v="Royal Mail"/>
        <s v="China Post"/>
        <s v="India Post"/>
        <s v="Turkish Cargo"/>
        <s v="MRW"/>
        <s v="Chronopost"/>
        <s v="Fastway"/>
        <s v="Blue Dart"/>
        <s v="Sendle"/>
        <s v="Shiprocket"/>
      </sharedItems>
    </cacheField>
    <cacheField name="country" numFmtId="0">
      <sharedItems count="16">
        <s v="Germany"/>
        <s v="United States"/>
        <s v="Jordan"/>
        <s v="Netherlands"/>
        <s v="Japan"/>
        <s v="Australia"/>
        <s v="Brazil"/>
        <s v="South Africa"/>
        <s v="Canada"/>
        <s v="United Kingdom"/>
        <s v="China"/>
        <s v="India"/>
        <s v="Turkey"/>
        <s v="Spain"/>
        <s v="France"/>
        <s v="Ireland"/>
      </sharedItems>
    </cacheField>
    <cacheField name="region" numFmtId="0">
      <sharedItems count="7">
        <s v="Europe"/>
        <s v="North America"/>
        <s v="Middle East"/>
        <s v="Asia"/>
        <s v="Oceania"/>
        <s v="South America"/>
        <s v="Africa"/>
      </sharedItems>
    </cacheField>
    <cacheField name="shipments_count" numFmtId="0">
      <sharedItems containsSemiMixedTypes="0" containsString="0" containsNumber="1" containsInteger="1" minValue="103" maxValue="495"/>
    </cacheField>
    <cacheField name="average_delivery_days" numFmtId="0">
      <sharedItems containsSemiMixedTypes="0" containsString="0" containsNumber="1" minValue="1.5" maxValue="7"/>
    </cacheField>
    <cacheField name="cost_per_shipment" numFmtId="0">
      <sharedItems containsSemiMixedTypes="0" containsString="0" containsNumber="1" minValue="5.12" maxValue="24.86"/>
    </cacheField>
    <cacheField name="status" numFmtId="0">
      <sharedItems count="2">
        <s v="Active"/>
        <s v="Inactive"/>
      </sharedItems>
    </cacheField>
    <cacheField name="rating" numFmtId="0">
      <sharedItems containsSemiMixedTypes="0" containsString="0" containsNumber="1" minValue="3" maxValue="5" count="21">
        <n v="4.5999999999999996"/>
        <n v="4"/>
        <n v="3.5"/>
        <n v="5"/>
        <n v="3.3"/>
        <n v="4.9000000000000004"/>
        <n v="4.8"/>
        <n v="4.0999999999999996"/>
        <n v="3.4"/>
        <n v="4.2"/>
        <n v="3.1"/>
        <n v="3.2"/>
        <n v="3.8"/>
        <n v="3"/>
        <n v="4.5"/>
        <n v="3.9"/>
        <n v="3.7"/>
        <n v="4.3"/>
        <n v="4.7"/>
        <n v="4.4000000000000004"/>
        <n v="3.6"/>
      </sharedItems>
    </cacheField>
    <cacheField name="contract_start" numFmtId="0">
      <sharedItems containsSemiMixedTypes="0" containsNonDate="0" containsDate="1" containsString="0" minDate="2026-04-09T00:00:00" maxDate="2026-07-06T00:00:00" count="6">
        <d v="2026-04-09T00:00:00"/>
        <d v="2026-04-10T00:00:00"/>
        <d v="2026-04-12T00:00:00"/>
        <d v="2026-04-13T00:00:00"/>
        <d v="2026-04-16T00:00:00"/>
        <d v="2026-07-05T00:00:00"/>
      </sharedItems>
    </cacheField>
    <cacheField name="created_at" numFmtId="0">
      <sharedItems containsSemiMixedTypes="0" containsNonDate="0" containsDate="1" containsString="0" minDate="2026-04-09T14:39:27" maxDate="2026-07-05T11:12:27"/>
    </cacheField>
  </cacheFields>
  <extLst>
    <ext xmlns:x14="http://schemas.microsoft.com/office/spreadsheetml/2009/9/main" uri="{725AE2AE-9491-48be-B2B4-4EB974FC3084}">
      <x14:pivotCacheDefinition pivotCacheId="3765651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49002222222" backgroundQuery="1" createdVersion="8" refreshedVersion="8" minRefreshableVersion="3" recordCount="280" xr:uid="{9A047DEA-6ACA-443D-82F0-5F39163F6669}">
  <cacheSource type="external" connectionId="6"/>
  <cacheFields count="11">
    <cacheField name="id" numFmtId="0">
      <sharedItems containsSemiMixedTypes="0" containsString="0" containsNumber="1" containsInteger="1" minValue="1" maxValue="280"/>
    </cacheField>
    <cacheField name="partner_name" numFmtId="0">
      <sharedItems count="20">
        <s v="DHL Express"/>
        <s v="FedEx"/>
        <s v="UPS"/>
        <s v="Aramex"/>
        <s v="TNT Express"/>
        <s v="Japan Post"/>
        <s v="Australia Post"/>
        <s v="Correios"/>
        <s v="South African Post"/>
        <s v="Canada Post"/>
        <s v="Royal Mail"/>
        <s v="China Post"/>
        <s v="India Post"/>
        <s v="Turkish Cargo"/>
        <s v="MRW"/>
        <s v="Chronopost"/>
        <s v="Fastway"/>
        <s v="Blue Dart"/>
        <s v="Sendle"/>
        <s v="Shiprocket"/>
      </sharedItems>
    </cacheField>
    <cacheField name="country" numFmtId="0">
      <sharedItems count="16">
        <s v="Germany"/>
        <s v="United States"/>
        <s v="Jordan"/>
        <s v="Netherlands"/>
        <s v="Japan"/>
        <s v="Australia"/>
        <s v="Brazil"/>
        <s v="South Africa"/>
        <s v="Canada"/>
        <s v="United Kingdom"/>
        <s v="China"/>
        <s v="India"/>
        <s v="Turkey"/>
        <s v="Spain"/>
        <s v="France"/>
        <s v="Ireland"/>
      </sharedItems>
    </cacheField>
    <cacheField name="region" numFmtId="0">
      <sharedItems count="7">
        <s v="Europe"/>
        <s v="North America"/>
        <s v="Middle East"/>
        <s v="Asia"/>
        <s v="Oceania"/>
        <s v="South America"/>
        <s v="Africa"/>
      </sharedItems>
    </cacheField>
    <cacheField name="shipments_count" numFmtId="0">
      <sharedItems containsSemiMixedTypes="0" containsString="0" containsNumber="1" containsInteger="1" minValue="103" maxValue="495"/>
    </cacheField>
    <cacheField name="average_delivery_days" numFmtId="0">
      <sharedItems containsSemiMixedTypes="0" containsString="0" containsNumber="1" minValue="1.5" maxValue="7"/>
    </cacheField>
    <cacheField name="cost_per_shipment" numFmtId="0">
      <sharedItems containsSemiMixedTypes="0" containsString="0" containsNumber="1" minValue="5.12" maxValue="24.86"/>
    </cacheField>
    <cacheField name="status" numFmtId="0">
      <sharedItems count="2">
        <s v="Active"/>
        <s v="Inactive"/>
      </sharedItems>
    </cacheField>
    <cacheField name="rating" numFmtId="0">
      <sharedItems containsSemiMixedTypes="0" containsString="0" containsNumber="1" minValue="3" maxValue="5" count="21">
        <n v="4.5999999999999996"/>
        <n v="4"/>
        <n v="3.5"/>
        <n v="5"/>
        <n v="3.3"/>
        <n v="4.9000000000000004"/>
        <n v="4.8"/>
        <n v="4.0999999999999996"/>
        <n v="3.4"/>
        <n v="4.2"/>
        <n v="3.1"/>
        <n v="3.2"/>
        <n v="3.8"/>
        <n v="3"/>
        <n v="4.5"/>
        <n v="3.9"/>
        <n v="3.7"/>
        <n v="4.3"/>
        <n v="4.7"/>
        <n v="4.4000000000000004"/>
        <n v="3.6"/>
      </sharedItems>
    </cacheField>
    <cacheField name="contract_start" numFmtId="0">
      <sharedItems containsSemiMixedTypes="0" containsNonDate="0" containsDate="1" containsString="0" minDate="2026-04-09T00:00:00" maxDate="2026-07-06T00:00:00" count="6">
        <d v="2026-04-09T00:00:00"/>
        <d v="2026-04-10T00:00:00"/>
        <d v="2026-04-12T00:00:00"/>
        <d v="2026-04-13T00:00:00"/>
        <d v="2026-04-16T00:00:00"/>
        <d v="2026-07-05T00:00:00"/>
      </sharedItems>
    </cacheField>
    <cacheField name="created_at" numFmtId="0">
      <sharedItems containsSemiMixedTypes="0" containsNonDate="0" containsDate="1" containsString="0" minDate="2026-04-09T14:39:27" maxDate="2026-07-05T11:12:2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490022916667" backgroundQuery="1" createdVersion="8" refreshedVersion="8" minRefreshableVersion="3" recordCount="1400" xr:uid="{5BFDE32C-2EC1-48EE-9958-900989BEC708}">
  <cacheSource type="external" connectionId="3"/>
  <cacheFields count="8">
    <cacheField name="id" numFmtId="0">
      <sharedItems containsSemiMixedTypes="0" containsString="0" containsNumber="1" containsInteger="1" minValue="1" maxValue="1407"/>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Other"/>
        <s v="Female"/>
      </sharedItems>
    </cacheField>
    <cacheField name="region" numFmtId="0">
      <sharedItems count="7">
        <s v="Europe"/>
        <s v="North America"/>
        <s v="South America"/>
        <s v="Africa"/>
        <s v="Asia"/>
        <s v="Middle East"/>
        <s v="Oceania"/>
      </sharedItems>
    </cacheField>
    <cacheField name="country" numFmtId="0">
      <sharedItems count="20">
        <s v="Turkey"/>
        <s v="Japan"/>
        <s v="South Korea"/>
        <s v="Netherlands"/>
        <s v="South Africa"/>
        <s v="Italy"/>
        <s v="Brazil"/>
        <s v="Canada"/>
        <s v="Spain"/>
        <s v="Mexico"/>
        <s v="Germany"/>
        <s v="China"/>
        <s v="India"/>
        <s v="Saudi Arabia"/>
        <s v="United Kingdom"/>
        <s v="France"/>
        <s v="Sweden"/>
        <s v="Argentina"/>
        <s v="United States"/>
        <s v="Australia"/>
      </sharedItems>
    </cacheField>
    <cacheField name="created_at" numFmtId="0">
      <sharedItems containsSemiMixedTypes="0" containsNonDate="0" containsDate="1" containsString="0" minDate="2026-03-10T22:04:03" maxDate="2026-07-05T11:39:39"/>
    </cacheField>
  </cacheFields>
  <extLst>
    <ext xmlns:x14="http://schemas.microsoft.com/office/spreadsheetml/2009/9/main" uri="{725AE2AE-9491-48be-B2B4-4EB974FC3084}">
      <x14:pivotCacheDefinition pivotCacheId="84115824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490023726852" backgroundQuery="1" createdVersion="8" refreshedVersion="8" minRefreshableVersion="3" recordCount="280" xr:uid="{701AD8C4-D33F-40BF-9468-1A6082831BD1}">
  <cacheSource type="external" connectionId="7"/>
  <cacheFields count="11">
    <cacheField name="id" numFmtId="0">
      <sharedItems containsSemiMixedTypes="0" containsString="0" containsNumber="1" containsInteger="1" minValue="1" maxValue="280"/>
    </cacheField>
    <cacheField name="partner_name" numFmtId="0">
      <sharedItems count="20">
        <s v="DHL Express"/>
        <s v="FedEx"/>
        <s v="UPS"/>
        <s v="Aramex"/>
        <s v="TNT Express"/>
        <s v="Japan Post"/>
        <s v="Australia Post"/>
        <s v="Correios"/>
        <s v="South African Post"/>
        <s v="Canada Post"/>
        <s v="Royal Mail"/>
        <s v="China Post"/>
        <s v="India Post"/>
        <s v="Turkish Cargo"/>
        <s v="MRW"/>
        <s v="Chronopost"/>
        <s v="Fastway"/>
        <s v="Blue Dart"/>
        <s v="Sendle"/>
        <s v="Shiprocket"/>
      </sharedItems>
    </cacheField>
    <cacheField name="country" numFmtId="0">
      <sharedItems count="16">
        <s v="Germany"/>
        <s v="United States"/>
        <s v="Jordan"/>
        <s v="Netherlands"/>
        <s v="Japan"/>
        <s v="Australia"/>
        <s v="Brazil"/>
        <s v="South Africa"/>
        <s v="Canada"/>
        <s v="United Kingdom"/>
        <s v="China"/>
        <s v="India"/>
        <s v="Turkey"/>
        <s v="Spain"/>
        <s v="France"/>
        <s v="Ireland"/>
      </sharedItems>
    </cacheField>
    <cacheField name="region" numFmtId="0">
      <sharedItems count="7">
        <s v="Europe"/>
        <s v="North America"/>
        <s v="Middle East"/>
        <s v="Asia"/>
        <s v="Oceania"/>
        <s v="South America"/>
        <s v="Africa"/>
      </sharedItems>
    </cacheField>
    <cacheField name="shipments_count" numFmtId="0">
      <sharedItems containsSemiMixedTypes="0" containsString="0" containsNumber="1" containsInteger="1" minValue="103" maxValue="495"/>
    </cacheField>
    <cacheField name="average_delivery_days" numFmtId="0">
      <sharedItems containsSemiMixedTypes="0" containsString="0" containsNumber="1" minValue="1.5" maxValue="7"/>
    </cacheField>
    <cacheField name="cost_per_shipment" numFmtId="0">
      <sharedItems containsSemiMixedTypes="0" containsString="0" containsNumber="1" minValue="5.12" maxValue="24.86"/>
    </cacheField>
    <cacheField name="status" numFmtId="0">
      <sharedItems count="2">
        <s v="Active"/>
        <s v="Inactive"/>
      </sharedItems>
    </cacheField>
    <cacheField name="rating" numFmtId="0">
      <sharedItems containsSemiMixedTypes="0" containsString="0" containsNumber="1" minValue="3" maxValue="5" count="21">
        <n v="4.5999999999999996"/>
        <n v="4"/>
        <n v="3.5"/>
        <n v="5"/>
        <n v="3.3"/>
        <n v="4.9000000000000004"/>
        <n v="4.8"/>
        <n v="4.0999999999999996"/>
        <n v="3.4"/>
        <n v="4.2"/>
        <n v="3.1"/>
        <n v="3.2"/>
        <n v="3.8"/>
        <n v="3"/>
        <n v="4.5"/>
        <n v="3.9"/>
        <n v="3.7"/>
        <n v="4.3"/>
        <n v="4.7"/>
        <n v="4.4000000000000004"/>
        <n v="3.6"/>
      </sharedItems>
    </cacheField>
    <cacheField name="contract_start" numFmtId="0">
      <sharedItems containsSemiMixedTypes="0" containsNonDate="0" containsDate="1" containsString="0" minDate="2026-04-09T00:00:00" maxDate="2026-07-06T00:00:00" count="6">
        <d v="2026-04-09T00:00:00"/>
        <d v="2026-04-10T00:00:00"/>
        <d v="2026-04-12T00:00:00"/>
        <d v="2026-04-13T00:00:00"/>
        <d v="2026-04-16T00:00:00"/>
        <d v="2026-07-05T00:00:00"/>
      </sharedItems>
    </cacheField>
    <cacheField name="created_at" numFmtId="0">
      <sharedItems containsSemiMixedTypes="0" containsNonDate="0" containsDate="1" containsString="0" minDate="2026-04-09T14:39:27" maxDate="2026-07-05T11:12:2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08.517202199073" backgroundQuery="1" createdVersion="8" refreshedVersion="8" minRefreshableVersion="3" recordCount="1400" xr:uid="{04EA6815-E365-4F1B-A7F1-1A30991E1B6C}">
  <cacheSource type="external" connectionId="2"/>
  <cacheFields count="8">
    <cacheField name="id" numFmtId="0">
      <sharedItems containsSemiMixedTypes="0" containsString="0" containsNumber="1" containsInteger="1" minValue="1" maxValue="1407"/>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Other"/>
        <s v="Female"/>
      </sharedItems>
    </cacheField>
    <cacheField name="region" numFmtId="0">
      <sharedItems count="7">
        <s v="Europe"/>
        <s v="North America"/>
        <s v="South America"/>
        <s v="Africa"/>
        <s v="Asia"/>
        <s v="Middle East"/>
        <s v="Oceania"/>
      </sharedItems>
    </cacheField>
    <cacheField name="country" numFmtId="0">
      <sharedItems count="20">
        <s v="Turkey"/>
        <s v="Japan"/>
        <s v="South Korea"/>
        <s v="Netherlands"/>
        <s v="South Africa"/>
        <s v="Italy"/>
        <s v="Brazil"/>
        <s v="Canada"/>
        <s v="Spain"/>
        <s v="Mexico"/>
        <s v="Germany"/>
        <s v="China"/>
        <s v="India"/>
        <s v="Saudi Arabia"/>
        <s v="United Kingdom"/>
        <s v="France"/>
        <s v="Sweden"/>
        <s v="Argentina"/>
        <s v="United States"/>
        <s v="Australia"/>
      </sharedItems>
    </cacheField>
    <cacheField name="created_at" numFmtId="0">
      <sharedItems containsSemiMixedTypes="0" containsNonDate="0" containsDate="1" containsString="0" minDate="2026-03-10T22:04:03" maxDate="2026-07-05T11:39:39"/>
    </cacheField>
  </cacheFields>
  <extLst>
    <ext xmlns:x14="http://schemas.microsoft.com/office/spreadsheetml/2009/9/main" uri="{725AE2AE-9491-48be-B2B4-4EB974FC3084}">
      <x14:pivotCacheDefinition pivotCacheId="844927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1"/>
    <x v="0"/>
    <x v="0"/>
    <x v="0"/>
    <n v="452"/>
    <n v="1.6"/>
    <n v="14.65"/>
    <x v="0"/>
    <x v="0"/>
    <x v="0"/>
    <d v="2026-04-09T14:39:27"/>
  </r>
  <r>
    <n v="2"/>
    <x v="1"/>
    <x v="1"/>
    <x v="1"/>
    <n v="363"/>
    <n v="2.4"/>
    <n v="16.63"/>
    <x v="1"/>
    <x v="1"/>
    <x v="0"/>
    <d v="2026-04-09T14:39:42"/>
  </r>
  <r>
    <n v="3"/>
    <x v="2"/>
    <x v="1"/>
    <x v="1"/>
    <n v="325"/>
    <n v="6.8"/>
    <n v="22.62"/>
    <x v="0"/>
    <x v="2"/>
    <x v="0"/>
    <d v="2026-04-09T14:40:05"/>
  </r>
  <r>
    <n v="4"/>
    <x v="3"/>
    <x v="2"/>
    <x v="2"/>
    <n v="338"/>
    <n v="3.5"/>
    <n v="9.14"/>
    <x v="0"/>
    <x v="3"/>
    <x v="0"/>
    <d v="2026-04-09T14:40:15"/>
  </r>
  <r>
    <n v="5"/>
    <x v="4"/>
    <x v="3"/>
    <x v="0"/>
    <n v="226"/>
    <n v="2.1"/>
    <n v="7.69"/>
    <x v="0"/>
    <x v="4"/>
    <x v="0"/>
    <d v="2026-04-09T14:40:38"/>
  </r>
  <r>
    <n v="6"/>
    <x v="5"/>
    <x v="4"/>
    <x v="3"/>
    <n v="390"/>
    <n v="3.5"/>
    <n v="20.97"/>
    <x v="1"/>
    <x v="5"/>
    <x v="0"/>
    <d v="2026-04-09T14:40:44"/>
  </r>
  <r>
    <n v="7"/>
    <x v="6"/>
    <x v="5"/>
    <x v="4"/>
    <n v="399"/>
    <n v="4.3"/>
    <n v="10.24"/>
    <x v="0"/>
    <x v="4"/>
    <x v="0"/>
    <d v="2026-04-09T14:40:51"/>
  </r>
  <r>
    <n v="8"/>
    <x v="7"/>
    <x v="6"/>
    <x v="5"/>
    <n v="263"/>
    <n v="2.4"/>
    <n v="7.26"/>
    <x v="0"/>
    <x v="6"/>
    <x v="0"/>
    <d v="2026-04-09T14:40:56"/>
  </r>
  <r>
    <n v="9"/>
    <x v="8"/>
    <x v="7"/>
    <x v="6"/>
    <n v="459"/>
    <n v="6.5"/>
    <n v="11.69"/>
    <x v="0"/>
    <x v="5"/>
    <x v="0"/>
    <d v="2026-04-09T14:41:08"/>
  </r>
  <r>
    <n v="10"/>
    <x v="9"/>
    <x v="8"/>
    <x v="1"/>
    <n v="228"/>
    <n v="4.5"/>
    <n v="19.7"/>
    <x v="0"/>
    <x v="7"/>
    <x v="0"/>
    <d v="2026-04-09T14:41:31"/>
  </r>
  <r>
    <n v="11"/>
    <x v="10"/>
    <x v="9"/>
    <x v="0"/>
    <n v="335"/>
    <n v="2.2999999999999998"/>
    <n v="18.23"/>
    <x v="1"/>
    <x v="8"/>
    <x v="0"/>
    <d v="2026-04-09T14:41:45"/>
  </r>
  <r>
    <n v="12"/>
    <x v="11"/>
    <x v="10"/>
    <x v="3"/>
    <n v="348"/>
    <n v="5.2"/>
    <n v="16.079999999999998"/>
    <x v="0"/>
    <x v="9"/>
    <x v="0"/>
    <d v="2026-04-09T14:41:56"/>
  </r>
  <r>
    <n v="13"/>
    <x v="12"/>
    <x v="11"/>
    <x v="3"/>
    <n v="156"/>
    <n v="5.9"/>
    <n v="5.45"/>
    <x v="0"/>
    <x v="4"/>
    <x v="0"/>
    <d v="2026-04-09T14:42:05"/>
  </r>
  <r>
    <n v="14"/>
    <x v="13"/>
    <x v="12"/>
    <x v="2"/>
    <n v="468"/>
    <n v="5.7"/>
    <n v="11.49"/>
    <x v="0"/>
    <x v="4"/>
    <x v="0"/>
    <d v="2026-04-09T14:42:30"/>
  </r>
  <r>
    <n v="15"/>
    <x v="14"/>
    <x v="13"/>
    <x v="0"/>
    <n v="179"/>
    <n v="1.8"/>
    <n v="22.96"/>
    <x v="0"/>
    <x v="7"/>
    <x v="0"/>
    <d v="2026-04-09T14:42:41"/>
  </r>
  <r>
    <n v="16"/>
    <x v="15"/>
    <x v="14"/>
    <x v="0"/>
    <n v="249"/>
    <n v="6.4"/>
    <n v="24.5"/>
    <x v="0"/>
    <x v="5"/>
    <x v="0"/>
    <d v="2026-04-09T14:42:56"/>
  </r>
  <r>
    <n v="17"/>
    <x v="16"/>
    <x v="15"/>
    <x v="0"/>
    <n v="260"/>
    <n v="4.7"/>
    <n v="20.04"/>
    <x v="0"/>
    <x v="2"/>
    <x v="0"/>
    <d v="2026-04-09T14:43:19"/>
  </r>
  <r>
    <n v="18"/>
    <x v="17"/>
    <x v="11"/>
    <x v="3"/>
    <n v="217"/>
    <n v="4.0999999999999996"/>
    <n v="13.05"/>
    <x v="0"/>
    <x v="10"/>
    <x v="0"/>
    <d v="2026-04-09T14:43:24"/>
  </r>
  <r>
    <n v="19"/>
    <x v="18"/>
    <x v="5"/>
    <x v="4"/>
    <n v="125"/>
    <n v="3.9"/>
    <n v="17.75"/>
    <x v="1"/>
    <x v="11"/>
    <x v="0"/>
    <d v="2026-04-09T14:43:38"/>
  </r>
  <r>
    <n v="20"/>
    <x v="19"/>
    <x v="11"/>
    <x v="3"/>
    <n v="480"/>
    <n v="5.5"/>
    <n v="14.01"/>
    <x v="0"/>
    <x v="12"/>
    <x v="0"/>
    <d v="2026-04-09T14:43:54"/>
  </r>
  <r>
    <n v="21"/>
    <x v="0"/>
    <x v="0"/>
    <x v="0"/>
    <n v="160"/>
    <n v="4.7"/>
    <n v="17.809999999999999"/>
    <x v="0"/>
    <x v="13"/>
    <x v="0"/>
    <d v="2026-04-09T16:09:52"/>
  </r>
  <r>
    <n v="22"/>
    <x v="1"/>
    <x v="1"/>
    <x v="1"/>
    <n v="121"/>
    <n v="5.6"/>
    <n v="21.66"/>
    <x v="0"/>
    <x v="14"/>
    <x v="0"/>
    <d v="2026-04-09T16:10:05"/>
  </r>
  <r>
    <n v="23"/>
    <x v="2"/>
    <x v="1"/>
    <x v="1"/>
    <n v="367"/>
    <n v="5.4"/>
    <n v="13.58"/>
    <x v="0"/>
    <x v="4"/>
    <x v="0"/>
    <d v="2026-04-09T16:10:18"/>
  </r>
  <r>
    <n v="24"/>
    <x v="3"/>
    <x v="2"/>
    <x v="2"/>
    <n v="228"/>
    <n v="5.5"/>
    <n v="19.59"/>
    <x v="0"/>
    <x v="8"/>
    <x v="0"/>
    <d v="2026-04-09T16:10:36"/>
  </r>
  <r>
    <n v="25"/>
    <x v="4"/>
    <x v="3"/>
    <x v="0"/>
    <n v="179"/>
    <n v="4.0999999999999996"/>
    <n v="13.53"/>
    <x v="0"/>
    <x v="9"/>
    <x v="0"/>
    <d v="2026-04-09T16:10:41"/>
  </r>
  <r>
    <n v="26"/>
    <x v="5"/>
    <x v="4"/>
    <x v="3"/>
    <n v="189"/>
    <n v="3"/>
    <n v="20.420000000000002"/>
    <x v="0"/>
    <x v="5"/>
    <x v="0"/>
    <d v="2026-04-09T16:10:54"/>
  </r>
  <r>
    <n v="27"/>
    <x v="6"/>
    <x v="5"/>
    <x v="4"/>
    <n v="306"/>
    <n v="4.0999999999999996"/>
    <n v="12.49"/>
    <x v="0"/>
    <x v="15"/>
    <x v="0"/>
    <d v="2026-04-09T16:11:15"/>
  </r>
  <r>
    <n v="28"/>
    <x v="7"/>
    <x v="6"/>
    <x v="5"/>
    <n v="232"/>
    <n v="1.8"/>
    <n v="12.93"/>
    <x v="0"/>
    <x v="8"/>
    <x v="0"/>
    <d v="2026-04-09T16:11:36"/>
  </r>
  <r>
    <n v="29"/>
    <x v="8"/>
    <x v="7"/>
    <x v="6"/>
    <n v="162"/>
    <n v="4.3"/>
    <n v="11.92"/>
    <x v="0"/>
    <x v="16"/>
    <x v="0"/>
    <d v="2026-04-09T16:11:49"/>
  </r>
  <r>
    <n v="30"/>
    <x v="9"/>
    <x v="8"/>
    <x v="1"/>
    <n v="293"/>
    <n v="3.5"/>
    <n v="18.850000000000001"/>
    <x v="0"/>
    <x v="7"/>
    <x v="0"/>
    <d v="2026-04-09T16:11:56"/>
  </r>
  <r>
    <n v="31"/>
    <x v="10"/>
    <x v="9"/>
    <x v="0"/>
    <n v="247"/>
    <n v="2.2000000000000002"/>
    <n v="14.3"/>
    <x v="0"/>
    <x v="17"/>
    <x v="0"/>
    <d v="2026-04-09T16:12:05"/>
  </r>
  <r>
    <n v="32"/>
    <x v="11"/>
    <x v="10"/>
    <x v="3"/>
    <n v="394"/>
    <n v="6"/>
    <n v="14.62"/>
    <x v="0"/>
    <x v="1"/>
    <x v="0"/>
    <d v="2026-04-09T16:12:19"/>
  </r>
  <r>
    <n v="33"/>
    <x v="12"/>
    <x v="11"/>
    <x v="3"/>
    <n v="221"/>
    <n v="5.7"/>
    <n v="19.010000000000002"/>
    <x v="0"/>
    <x v="4"/>
    <x v="0"/>
    <d v="2026-04-09T16:12:42"/>
  </r>
  <r>
    <n v="34"/>
    <x v="13"/>
    <x v="12"/>
    <x v="2"/>
    <n v="467"/>
    <n v="4.9000000000000004"/>
    <n v="17.989999999999998"/>
    <x v="0"/>
    <x v="14"/>
    <x v="0"/>
    <d v="2026-04-09T16:12:51"/>
  </r>
  <r>
    <n v="35"/>
    <x v="14"/>
    <x v="13"/>
    <x v="0"/>
    <n v="320"/>
    <n v="1.6"/>
    <n v="21.7"/>
    <x v="0"/>
    <x v="2"/>
    <x v="0"/>
    <d v="2026-04-09T16:13:08"/>
  </r>
  <r>
    <n v="36"/>
    <x v="15"/>
    <x v="14"/>
    <x v="0"/>
    <n v="495"/>
    <n v="2.6"/>
    <n v="22"/>
    <x v="0"/>
    <x v="8"/>
    <x v="0"/>
    <d v="2026-04-09T16:13:28"/>
  </r>
  <r>
    <n v="37"/>
    <x v="16"/>
    <x v="15"/>
    <x v="0"/>
    <n v="371"/>
    <n v="3.5"/>
    <n v="16.920000000000002"/>
    <x v="0"/>
    <x v="17"/>
    <x v="0"/>
    <d v="2026-04-09T16:13:36"/>
  </r>
  <r>
    <n v="38"/>
    <x v="17"/>
    <x v="11"/>
    <x v="3"/>
    <n v="124"/>
    <n v="6.8"/>
    <n v="23.69"/>
    <x v="0"/>
    <x v="8"/>
    <x v="0"/>
    <d v="2026-04-09T16:14:01"/>
  </r>
  <r>
    <n v="39"/>
    <x v="18"/>
    <x v="5"/>
    <x v="4"/>
    <n v="380"/>
    <n v="5"/>
    <n v="9.35"/>
    <x v="0"/>
    <x v="10"/>
    <x v="0"/>
    <d v="2026-04-09T16:14:16"/>
  </r>
  <r>
    <n v="40"/>
    <x v="19"/>
    <x v="11"/>
    <x v="3"/>
    <n v="165"/>
    <n v="5.9"/>
    <n v="24.56"/>
    <x v="0"/>
    <x v="12"/>
    <x v="0"/>
    <d v="2026-04-09T16:14:26"/>
  </r>
  <r>
    <n v="41"/>
    <x v="0"/>
    <x v="0"/>
    <x v="0"/>
    <n v="428"/>
    <n v="6.7"/>
    <n v="21.91"/>
    <x v="1"/>
    <x v="18"/>
    <x v="0"/>
    <d v="2026-04-09T16:22:05"/>
  </r>
  <r>
    <n v="42"/>
    <x v="1"/>
    <x v="1"/>
    <x v="1"/>
    <n v="157"/>
    <n v="1.6"/>
    <n v="16.57"/>
    <x v="0"/>
    <x v="10"/>
    <x v="0"/>
    <d v="2026-04-09T16:22:12"/>
  </r>
  <r>
    <n v="43"/>
    <x v="2"/>
    <x v="1"/>
    <x v="1"/>
    <n v="279"/>
    <n v="6.2"/>
    <n v="24.35"/>
    <x v="0"/>
    <x v="13"/>
    <x v="0"/>
    <d v="2026-04-09T16:22:23"/>
  </r>
  <r>
    <n v="44"/>
    <x v="3"/>
    <x v="2"/>
    <x v="2"/>
    <n v="325"/>
    <n v="1.9"/>
    <n v="15.61"/>
    <x v="0"/>
    <x v="4"/>
    <x v="0"/>
    <d v="2026-04-09T16:22:46"/>
  </r>
  <r>
    <n v="45"/>
    <x v="4"/>
    <x v="3"/>
    <x v="0"/>
    <n v="467"/>
    <n v="6.5"/>
    <n v="17.809999999999999"/>
    <x v="0"/>
    <x v="13"/>
    <x v="0"/>
    <d v="2026-04-09T16:23:00"/>
  </r>
  <r>
    <n v="46"/>
    <x v="5"/>
    <x v="4"/>
    <x v="3"/>
    <n v="135"/>
    <n v="3.6"/>
    <n v="12.24"/>
    <x v="0"/>
    <x v="19"/>
    <x v="0"/>
    <d v="2026-04-09T16:23:17"/>
  </r>
  <r>
    <n v="47"/>
    <x v="6"/>
    <x v="5"/>
    <x v="4"/>
    <n v="299"/>
    <n v="2.1"/>
    <n v="14.06"/>
    <x v="0"/>
    <x v="19"/>
    <x v="0"/>
    <d v="2026-04-09T16:23:37"/>
  </r>
  <r>
    <n v="48"/>
    <x v="7"/>
    <x v="6"/>
    <x v="5"/>
    <n v="405"/>
    <n v="1.6"/>
    <n v="5.9"/>
    <x v="0"/>
    <x v="15"/>
    <x v="0"/>
    <d v="2026-04-09T16:23:43"/>
  </r>
  <r>
    <n v="49"/>
    <x v="8"/>
    <x v="7"/>
    <x v="6"/>
    <n v="169"/>
    <n v="4.5"/>
    <n v="22.45"/>
    <x v="0"/>
    <x v="0"/>
    <x v="0"/>
    <d v="2026-04-09T16:23:58"/>
  </r>
  <r>
    <n v="50"/>
    <x v="9"/>
    <x v="8"/>
    <x v="1"/>
    <n v="479"/>
    <n v="4.5"/>
    <n v="20.96"/>
    <x v="0"/>
    <x v="14"/>
    <x v="0"/>
    <d v="2026-04-09T16:24:15"/>
  </r>
  <r>
    <n v="51"/>
    <x v="10"/>
    <x v="9"/>
    <x v="0"/>
    <n v="216"/>
    <n v="6.9"/>
    <n v="9.1300000000000008"/>
    <x v="0"/>
    <x v="1"/>
    <x v="0"/>
    <d v="2026-04-09T16:24:38"/>
  </r>
  <r>
    <n v="52"/>
    <x v="11"/>
    <x v="10"/>
    <x v="3"/>
    <n v="311"/>
    <n v="2.2999999999999998"/>
    <n v="12.91"/>
    <x v="0"/>
    <x v="12"/>
    <x v="0"/>
    <d v="2026-04-09T16:25:00"/>
  </r>
  <r>
    <n v="53"/>
    <x v="12"/>
    <x v="11"/>
    <x v="3"/>
    <n v="264"/>
    <n v="2.1"/>
    <n v="20.37"/>
    <x v="0"/>
    <x v="18"/>
    <x v="0"/>
    <d v="2026-04-09T16:25:06"/>
  </r>
  <r>
    <n v="54"/>
    <x v="13"/>
    <x v="12"/>
    <x v="2"/>
    <n v="317"/>
    <n v="3.9"/>
    <n v="8.2100000000000009"/>
    <x v="0"/>
    <x v="16"/>
    <x v="0"/>
    <d v="2026-04-09T16:25:13"/>
  </r>
  <r>
    <n v="55"/>
    <x v="14"/>
    <x v="13"/>
    <x v="0"/>
    <n v="341"/>
    <n v="5.3"/>
    <n v="10.119999999999999"/>
    <x v="0"/>
    <x v="4"/>
    <x v="0"/>
    <d v="2026-04-09T16:25:23"/>
  </r>
  <r>
    <n v="56"/>
    <x v="15"/>
    <x v="14"/>
    <x v="0"/>
    <n v="122"/>
    <n v="1.7"/>
    <n v="17.579999999999998"/>
    <x v="0"/>
    <x v="17"/>
    <x v="0"/>
    <d v="2026-04-09T16:25:36"/>
  </r>
  <r>
    <n v="57"/>
    <x v="16"/>
    <x v="15"/>
    <x v="0"/>
    <n v="437"/>
    <n v="5.3"/>
    <n v="20.14"/>
    <x v="0"/>
    <x v="18"/>
    <x v="0"/>
    <d v="2026-04-09T16:25:51"/>
  </r>
  <r>
    <n v="58"/>
    <x v="17"/>
    <x v="11"/>
    <x v="3"/>
    <n v="143"/>
    <n v="2.2000000000000002"/>
    <n v="11.01"/>
    <x v="1"/>
    <x v="7"/>
    <x v="0"/>
    <d v="2026-04-09T16:26:02"/>
  </r>
  <r>
    <n v="59"/>
    <x v="18"/>
    <x v="5"/>
    <x v="4"/>
    <n v="274"/>
    <n v="4.2"/>
    <n v="14.75"/>
    <x v="0"/>
    <x v="17"/>
    <x v="0"/>
    <d v="2026-04-09T16:26:12"/>
  </r>
  <r>
    <n v="60"/>
    <x v="19"/>
    <x v="11"/>
    <x v="3"/>
    <n v="252"/>
    <n v="4.2"/>
    <n v="21.85"/>
    <x v="0"/>
    <x v="17"/>
    <x v="0"/>
    <d v="2026-04-09T16:26:29"/>
  </r>
  <r>
    <n v="61"/>
    <x v="0"/>
    <x v="0"/>
    <x v="0"/>
    <n v="243"/>
    <n v="6.2"/>
    <n v="9.4700000000000006"/>
    <x v="0"/>
    <x v="7"/>
    <x v="1"/>
    <d v="2026-04-10T20:13:58"/>
  </r>
  <r>
    <n v="62"/>
    <x v="1"/>
    <x v="1"/>
    <x v="1"/>
    <n v="113"/>
    <n v="6.3"/>
    <n v="17.38"/>
    <x v="0"/>
    <x v="14"/>
    <x v="1"/>
    <d v="2026-04-10T20:14:13"/>
  </r>
  <r>
    <n v="63"/>
    <x v="2"/>
    <x v="1"/>
    <x v="1"/>
    <n v="185"/>
    <n v="4.5"/>
    <n v="8.02"/>
    <x v="0"/>
    <x v="7"/>
    <x v="1"/>
    <d v="2026-04-10T20:14:33"/>
  </r>
  <r>
    <n v="64"/>
    <x v="3"/>
    <x v="2"/>
    <x v="2"/>
    <n v="346"/>
    <n v="5.3"/>
    <n v="20.39"/>
    <x v="0"/>
    <x v="10"/>
    <x v="1"/>
    <d v="2026-04-10T20:14:41"/>
  </r>
  <r>
    <n v="65"/>
    <x v="4"/>
    <x v="3"/>
    <x v="0"/>
    <n v="166"/>
    <n v="3.4"/>
    <n v="14.3"/>
    <x v="1"/>
    <x v="16"/>
    <x v="1"/>
    <d v="2026-04-10T20:15:06"/>
  </r>
  <r>
    <n v="66"/>
    <x v="5"/>
    <x v="4"/>
    <x v="3"/>
    <n v="287"/>
    <n v="3.5"/>
    <n v="12.78"/>
    <x v="0"/>
    <x v="9"/>
    <x v="1"/>
    <d v="2026-04-10T20:15:22"/>
  </r>
  <r>
    <n v="67"/>
    <x v="6"/>
    <x v="5"/>
    <x v="4"/>
    <n v="188"/>
    <n v="3.9"/>
    <n v="23.85"/>
    <x v="0"/>
    <x v="17"/>
    <x v="1"/>
    <d v="2026-04-10T20:15:42"/>
  </r>
  <r>
    <n v="68"/>
    <x v="7"/>
    <x v="6"/>
    <x v="5"/>
    <n v="264"/>
    <n v="1.9"/>
    <n v="11.62"/>
    <x v="0"/>
    <x v="14"/>
    <x v="1"/>
    <d v="2026-04-10T20:16:07"/>
  </r>
  <r>
    <n v="69"/>
    <x v="8"/>
    <x v="7"/>
    <x v="6"/>
    <n v="492"/>
    <n v="5.6"/>
    <n v="16.77"/>
    <x v="0"/>
    <x v="16"/>
    <x v="1"/>
    <d v="2026-04-10T20:16:27"/>
  </r>
  <r>
    <n v="70"/>
    <x v="9"/>
    <x v="8"/>
    <x v="1"/>
    <n v="273"/>
    <n v="3.4"/>
    <n v="14.4"/>
    <x v="0"/>
    <x v="18"/>
    <x v="1"/>
    <d v="2026-04-10T20:16:51"/>
  </r>
  <r>
    <n v="71"/>
    <x v="10"/>
    <x v="9"/>
    <x v="0"/>
    <n v="215"/>
    <n v="3.7"/>
    <n v="10.68"/>
    <x v="0"/>
    <x v="4"/>
    <x v="1"/>
    <d v="2026-04-10T20:17:02"/>
  </r>
  <r>
    <n v="72"/>
    <x v="11"/>
    <x v="10"/>
    <x v="3"/>
    <n v="314"/>
    <n v="4.5"/>
    <n v="11.19"/>
    <x v="0"/>
    <x v="1"/>
    <x v="1"/>
    <d v="2026-04-10T20:17:09"/>
  </r>
  <r>
    <n v="73"/>
    <x v="12"/>
    <x v="11"/>
    <x v="3"/>
    <n v="413"/>
    <n v="3.2"/>
    <n v="7.23"/>
    <x v="0"/>
    <x v="9"/>
    <x v="1"/>
    <d v="2026-04-10T20:17:19"/>
  </r>
  <r>
    <n v="74"/>
    <x v="13"/>
    <x v="12"/>
    <x v="2"/>
    <n v="495"/>
    <n v="3.4"/>
    <n v="23.69"/>
    <x v="0"/>
    <x v="4"/>
    <x v="1"/>
    <d v="2026-04-10T20:17:24"/>
  </r>
  <r>
    <n v="75"/>
    <x v="14"/>
    <x v="13"/>
    <x v="0"/>
    <n v="428"/>
    <n v="7"/>
    <n v="21.73"/>
    <x v="0"/>
    <x v="1"/>
    <x v="1"/>
    <d v="2026-04-10T20:17:49"/>
  </r>
  <r>
    <n v="76"/>
    <x v="15"/>
    <x v="14"/>
    <x v="0"/>
    <n v="332"/>
    <n v="2"/>
    <n v="6.46"/>
    <x v="0"/>
    <x v="17"/>
    <x v="1"/>
    <d v="2026-04-10T20:18:01"/>
  </r>
  <r>
    <n v="77"/>
    <x v="16"/>
    <x v="15"/>
    <x v="0"/>
    <n v="420"/>
    <n v="5.9"/>
    <n v="20.420000000000002"/>
    <x v="0"/>
    <x v="5"/>
    <x v="1"/>
    <d v="2026-04-10T20:18:11"/>
  </r>
  <r>
    <n v="78"/>
    <x v="17"/>
    <x v="11"/>
    <x v="3"/>
    <n v="422"/>
    <n v="3.9"/>
    <n v="18.75"/>
    <x v="0"/>
    <x v="7"/>
    <x v="1"/>
    <d v="2026-04-10T20:18:28"/>
  </r>
  <r>
    <n v="79"/>
    <x v="18"/>
    <x v="5"/>
    <x v="4"/>
    <n v="242"/>
    <n v="4.3"/>
    <n v="16.48"/>
    <x v="0"/>
    <x v="9"/>
    <x v="1"/>
    <d v="2026-04-10T20:18:41"/>
  </r>
  <r>
    <n v="80"/>
    <x v="19"/>
    <x v="11"/>
    <x v="3"/>
    <n v="303"/>
    <n v="4.4000000000000004"/>
    <n v="20.9"/>
    <x v="0"/>
    <x v="7"/>
    <x v="1"/>
    <d v="2026-04-10T20:18:59"/>
  </r>
  <r>
    <n v="81"/>
    <x v="0"/>
    <x v="0"/>
    <x v="0"/>
    <n v="384"/>
    <n v="3"/>
    <n v="18.23"/>
    <x v="0"/>
    <x v="20"/>
    <x v="2"/>
    <d v="2026-04-12T11:11:21"/>
  </r>
  <r>
    <n v="82"/>
    <x v="1"/>
    <x v="1"/>
    <x v="1"/>
    <n v="187"/>
    <n v="2.9"/>
    <n v="17.23"/>
    <x v="0"/>
    <x v="20"/>
    <x v="2"/>
    <d v="2026-04-12T11:11:35"/>
  </r>
  <r>
    <n v="83"/>
    <x v="2"/>
    <x v="1"/>
    <x v="1"/>
    <n v="381"/>
    <n v="2.4"/>
    <n v="23.19"/>
    <x v="0"/>
    <x v="0"/>
    <x v="2"/>
    <d v="2026-04-12T11:11:54"/>
  </r>
  <r>
    <n v="84"/>
    <x v="3"/>
    <x v="2"/>
    <x v="2"/>
    <n v="355"/>
    <n v="3"/>
    <n v="17.02"/>
    <x v="1"/>
    <x v="12"/>
    <x v="2"/>
    <d v="2026-04-12T11:12:15"/>
  </r>
  <r>
    <n v="85"/>
    <x v="4"/>
    <x v="3"/>
    <x v="0"/>
    <n v="223"/>
    <n v="5.6"/>
    <n v="17.46"/>
    <x v="0"/>
    <x v="4"/>
    <x v="2"/>
    <d v="2026-04-12T11:12:27"/>
  </r>
  <r>
    <n v="86"/>
    <x v="5"/>
    <x v="4"/>
    <x v="3"/>
    <n v="146"/>
    <n v="2.1"/>
    <n v="14.01"/>
    <x v="0"/>
    <x v="7"/>
    <x v="2"/>
    <d v="2026-04-12T11:12:37"/>
  </r>
  <r>
    <n v="87"/>
    <x v="6"/>
    <x v="5"/>
    <x v="4"/>
    <n v="265"/>
    <n v="3.1"/>
    <n v="21.06"/>
    <x v="0"/>
    <x v="6"/>
    <x v="2"/>
    <d v="2026-04-12T11:12:44"/>
  </r>
  <r>
    <n v="88"/>
    <x v="7"/>
    <x v="6"/>
    <x v="5"/>
    <n v="224"/>
    <n v="6.1"/>
    <n v="24.76"/>
    <x v="0"/>
    <x v="11"/>
    <x v="2"/>
    <d v="2026-04-12T11:13:01"/>
  </r>
  <r>
    <n v="89"/>
    <x v="8"/>
    <x v="7"/>
    <x v="6"/>
    <n v="428"/>
    <n v="6.5"/>
    <n v="10.81"/>
    <x v="0"/>
    <x v="8"/>
    <x v="2"/>
    <d v="2026-04-12T11:13:08"/>
  </r>
  <r>
    <n v="90"/>
    <x v="9"/>
    <x v="8"/>
    <x v="1"/>
    <n v="472"/>
    <n v="4.7"/>
    <n v="19.16"/>
    <x v="0"/>
    <x v="1"/>
    <x v="2"/>
    <d v="2026-04-12T11:13:17"/>
  </r>
  <r>
    <n v="91"/>
    <x v="10"/>
    <x v="9"/>
    <x v="0"/>
    <n v="323"/>
    <n v="5.0999999999999996"/>
    <n v="15.06"/>
    <x v="0"/>
    <x v="10"/>
    <x v="2"/>
    <d v="2026-04-12T11:13:23"/>
  </r>
  <r>
    <n v="92"/>
    <x v="11"/>
    <x v="10"/>
    <x v="3"/>
    <n v="121"/>
    <n v="2.7"/>
    <n v="10.29"/>
    <x v="0"/>
    <x v="19"/>
    <x v="2"/>
    <d v="2026-04-12T11:13:41"/>
  </r>
  <r>
    <n v="93"/>
    <x v="12"/>
    <x v="11"/>
    <x v="3"/>
    <n v="391"/>
    <n v="2"/>
    <n v="20.98"/>
    <x v="0"/>
    <x v="15"/>
    <x v="2"/>
    <d v="2026-04-12T11:13:53"/>
  </r>
  <r>
    <n v="94"/>
    <x v="13"/>
    <x v="12"/>
    <x v="2"/>
    <n v="139"/>
    <n v="2.6"/>
    <n v="22.21"/>
    <x v="0"/>
    <x v="1"/>
    <x v="2"/>
    <d v="2026-04-12T11:14:02"/>
  </r>
  <r>
    <n v="95"/>
    <x v="14"/>
    <x v="13"/>
    <x v="0"/>
    <n v="225"/>
    <n v="6.2"/>
    <n v="21.87"/>
    <x v="0"/>
    <x v="18"/>
    <x v="2"/>
    <d v="2026-04-12T11:14:13"/>
  </r>
  <r>
    <n v="96"/>
    <x v="15"/>
    <x v="14"/>
    <x v="0"/>
    <n v="338"/>
    <n v="4.0999999999999996"/>
    <n v="12.86"/>
    <x v="0"/>
    <x v="8"/>
    <x v="2"/>
    <d v="2026-04-12T11:14:19"/>
  </r>
  <r>
    <n v="97"/>
    <x v="16"/>
    <x v="15"/>
    <x v="0"/>
    <n v="235"/>
    <n v="6.8"/>
    <n v="23.29"/>
    <x v="0"/>
    <x v="14"/>
    <x v="2"/>
    <d v="2026-04-12T11:14:38"/>
  </r>
  <r>
    <n v="98"/>
    <x v="17"/>
    <x v="11"/>
    <x v="3"/>
    <n v="162"/>
    <n v="4.4000000000000004"/>
    <n v="15.02"/>
    <x v="1"/>
    <x v="3"/>
    <x v="2"/>
    <d v="2026-04-12T11:14:57"/>
  </r>
  <r>
    <n v="99"/>
    <x v="18"/>
    <x v="5"/>
    <x v="4"/>
    <n v="139"/>
    <n v="3.3"/>
    <n v="21.64"/>
    <x v="0"/>
    <x v="14"/>
    <x v="2"/>
    <d v="2026-04-12T11:15:06"/>
  </r>
  <r>
    <n v="100"/>
    <x v="19"/>
    <x v="11"/>
    <x v="3"/>
    <n v="281"/>
    <n v="2.7"/>
    <n v="19.11"/>
    <x v="0"/>
    <x v="13"/>
    <x v="2"/>
    <d v="2026-04-12T11:15:23"/>
  </r>
  <r>
    <n v="101"/>
    <x v="0"/>
    <x v="0"/>
    <x v="0"/>
    <n v="481"/>
    <n v="5.8"/>
    <n v="18.809999999999999"/>
    <x v="0"/>
    <x v="14"/>
    <x v="2"/>
    <d v="2026-04-12T11:16:47"/>
  </r>
  <r>
    <n v="102"/>
    <x v="1"/>
    <x v="1"/>
    <x v="1"/>
    <n v="425"/>
    <n v="6.8"/>
    <n v="18.899999999999999"/>
    <x v="0"/>
    <x v="6"/>
    <x v="2"/>
    <d v="2026-04-12T11:17:01"/>
  </r>
  <r>
    <n v="103"/>
    <x v="2"/>
    <x v="1"/>
    <x v="1"/>
    <n v="486"/>
    <n v="1.7"/>
    <n v="17.32"/>
    <x v="0"/>
    <x v="20"/>
    <x v="2"/>
    <d v="2026-04-12T11:17:26"/>
  </r>
  <r>
    <n v="104"/>
    <x v="3"/>
    <x v="2"/>
    <x v="2"/>
    <n v="220"/>
    <n v="1.8"/>
    <n v="22.73"/>
    <x v="0"/>
    <x v="13"/>
    <x v="2"/>
    <d v="2026-04-12T11:17:41"/>
  </r>
  <r>
    <n v="105"/>
    <x v="4"/>
    <x v="3"/>
    <x v="0"/>
    <n v="342"/>
    <n v="4.8"/>
    <n v="8.5399999999999991"/>
    <x v="0"/>
    <x v="0"/>
    <x v="2"/>
    <d v="2026-04-12T11:18:00"/>
  </r>
  <r>
    <n v="106"/>
    <x v="5"/>
    <x v="4"/>
    <x v="3"/>
    <n v="200"/>
    <n v="3.6"/>
    <n v="24.71"/>
    <x v="0"/>
    <x v="15"/>
    <x v="2"/>
    <d v="2026-04-12T11:18:09"/>
  </r>
  <r>
    <n v="107"/>
    <x v="6"/>
    <x v="5"/>
    <x v="4"/>
    <n v="404"/>
    <n v="3.9"/>
    <n v="24.03"/>
    <x v="0"/>
    <x v="8"/>
    <x v="2"/>
    <d v="2026-04-12T11:18:32"/>
  </r>
  <r>
    <n v="108"/>
    <x v="7"/>
    <x v="6"/>
    <x v="5"/>
    <n v="360"/>
    <n v="5.6"/>
    <n v="13.68"/>
    <x v="0"/>
    <x v="10"/>
    <x v="2"/>
    <d v="2026-04-12T11:18:46"/>
  </r>
  <r>
    <n v="109"/>
    <x v="8"/>
    <x v="7"/>
    <x v="6"/>
    <n v="306"/>
    <n v="3.4"/>
    <n v="20.39"/>
    <x v="0"/>
    <x v="7"/>
    <x v="2"/>
    <d v="2026-04-12T11:19:05"/>
  </r>
  <r>
    <n v="110"/>
    <x v="9"/>
    <x v="8"/>
    <x v="1"/>
    <n v="154"/>
    <n v="3"/>
    <n v="6.73"/>
    <x v="0"/>
    <x v="17"/>
    <x v="2"/>
    <d v="2026-04-12T11:19:27"/>
  </r>
  <r>
    <n v="111"/>
    <x v="10"/>
    <x v="9"/>
    <x v="0"/>
    <n v="223"/>
    <n v="1.7"/>
    <n v="16.96"/>
    <x v="0"/>
    <x v="8"/>
    <x v="2"/>
    <d v="2026-04-12T11:19:52"/>
  </r>
  <r>
    <n v="112"/>
    <x v="11"/>
    <x v="10"/>
    <x v="3"/>
    <n v="412"/>
    <n v="6.2"/>
    <n v="9.8800000000000008"/>
    <x v="0"/>
    <x v="1"/>
    <x v="2"/>
    <d v="2026-04-12T11:20:17"/>
  </r>
  <r>
    <n v="113"/>
    <x v="12"/>
    <x v="11"/>
    <x v="3"/>
    <n v="474"/>
    <n v="2.5"/>
    <n v="20.9"/>
    <x v="0"/>
    <x v="8"/>
    <x v="2"/>
    <d v="2026-04-12T11:20:26"/>
  </r>
  <r>
    <n v="114"/>
    <x v="13"/>
    <x v="12"/>
    <x v="2"/>
    <n v="411"/>
    <n v="2.2999999999999998"/>
    <n v="13.44"/>
    <x v="0"/>
    <x v="9"/>
    <x v="2"/>
    <d v="2026-04-12T11:20:37"/>
  </r>
  <r>
    <n v="115"/>
    <x v="14"/>
    <x v="13"/>
    <x v="0"/>
    <n v="302"/>
    <n v="6"/>
    <n v="13.24"/>
    <x v="0"/>
    <x v="12"/>
    <x v="2"/>
    <d v="2026-04-12T11:21:01"/>
  </r>
  <r>
    <n v="116"/>
    <x v="15"/>
    <x v="14"/>
    <x v="0"/>
    <n v="218"/>
    <n v="3.5"/>
    <n v="21.17"/>
    <x v="0"/>
    <x v="1"/>
    <x v="2"/>
    <d v="2026-04-12T11:21:17"/>
  </r>
  <r>
    <n v="117"/>
    <x v="16"/>
    <x v="15"/>
    <x v="0"/>
    <n v="104"/>
    <n v="6"/>
    <n v="5.12"/>
    <x v="0"/>
    <x v="2"/>
    <x v="2"/>
    <d v="2026-04-12T11:21:22"/>
  </r>
  <r>
    <n v="118"/>
    <x v="17"/>
    <x v="11"/>
    <x v="3"/>
    <n v="198"/>
    <n v="1.9"/>
    <n v="8.2899999999999991"/>
    <x v="0"/>
    <x v="10"/>
    <x v="2"/>
    <d v="2026-04-12T11:21:29"/>
  </r>
  <r>
    <n v="119"/>
    <x v="18"/>
    <x v="5"/>
    <x v="4"/>
    <n v="204"/>
    <n v="2.8"/>
    <n v="14.3"/>
    <x v="0"/>
    <x v="0"/>
    <x v="2"/>
    <d v="2026-04-12T11:21:46"/>
  </r>
  <r>
    <n v="120"/>
    <x v="19"/>
    <x v="11"/>
    <x v="3"/>
    <n v="345"/>
    <n v="4.7"/>
    <n v="20.399999999999999"/>
    <x v="0"/>
    <x v="20"/>
    <x v="2"/>
    <d v="2026-04-12T11:22:04"/>
  </r>
  <r>
    <n v="121"/>
    <x v="0"/>
    <x v="0"/>
    <x v="0"/>
    <n v="322"/>
    <n v="5.5"/>
    <n v="18.39"/>
    <x v="0"/>
    <x v="19"/>
    <x v="2"/>
    <d v="2026-04-12T11:41:34"/>
  </r>
  <r>
    <n v="122"/>
    <x v="1"/>
    <x v="1"/>
    <x v="1"/>
    <n v="333"/>
    <n v="3.9"/>
    <n v="8.26"/>
    <x v="1"/>
    <x v="11"/>
    <x v="2"/>
    <d v="2026-04-12T11:41:59"/>
  </r>
  <r>
    <n v="123"/>
    <x v="2"/>
    <x v="1"/>
    <x v="1"/>
    <n v="290"/>
    <n v="5.3"/>
    <n v="19.809999999999999"/>
    <x v="0"/>
    <x v="10"/>
    <x v="2"/>
    <d v="2026-04-12T11:42:16"/>
  </r>
  <r>
    <n v="124"/>
    <x v="3"/>
    <x v="2"/>
    <x v="2"/>
    <n v="196"/>
    <n v="5.8"/>
    <n v="21.37"/>
    <x v="0"/>
    <x v="18"/>
    <x v="2"/>
    <d v="2026-04-12T11:42:27"/>
  </r>
  <r>
    <n v="125"/>
    <x v="4"/>
    <x v="3"/>
    <x v="0"/>
    <n v="305"/>
    <n v="4.4000000000000004"/>
    <n v="9.0399999999999991"/>
    <x v="0"/>
    <x v="12"/>
    <x v="2"/>
    <d v="2026-04-12T11:42:52"/>
  </r>
  <r>
    <n v="126"/>
    <x v="5"/>
    <x v="4"/>
    <x v="3"/>
    <n v="241"/>
    <n v="1.7"/>
    <n v="19.48"/>
    <x v="0"/>
    <x v="19"/>
    <x v="2"/>
    <d v="2026-04-12T11:43:09"/>
  </r>
  <r>
    <n v="127"/>
    <x v="6"/>
    <x v="5"/>
    <x v="4"/>
    <n v="157"/>
    <n v="6.2"/>
    <n v="7.34"/>
    <x v="0"/>
    <x v="6"/>
    <x v="2"/>
    <d v="2026-04-12T11:43:22"/>
  </r>
  <r>
    <n v="128"/>
    <x v="7"/>
    <x v="6"/>
    <x v="5"/>
    <n v="293"/>
    <n v="3"/>
    <n v="17.850000000000001"/>
    <x v="0"/>
    <x v="7"/>
    <x v="2"/>
    <d v="2026-04-12T11:43:35"/>
  </r>
  <r>
    <n v="129"/>
    <x v="8"/>
    <x v="7"/>
    <x v="6"/>
    <n v="202"/>
    <n v="3.9"/>
    <n v="12.87"/>
    <x v="0"/>
    <x v="1"/>
    <x v="2"/>
    <d v="2026-04-12T11:43:47"/>
  </r>
  <r>
    <n v="130"/>
    <x v="9"/>
    <x v="8"/>
    <x v="1"/>
    <n v="216"/>
    <n v="5.6"/>
    <n v="7.97"/>
    <x v="0"/>
    <x v="11"/>
    <x v="2"/>
    <d v="2026-04-12T11:44:06"/>
  </r>
  <r>
    <n v="131"/>
    <x v="10"/>
    <x v="9"/>
    <x v="0"/>
    <n v="244"/>
    <n v="2.9"/>
    <n v="24.39"/>
    <x v="0"/>
    <x v="2"/>
    <x v="2"/>
    <d v="2026-04-12T11:44:13"/>
  </r>
  <r>
    <n v="132"/>
    <x v="11"/>
    <x v="10"/>
    <x v="3"/>
    <n v="353"/>
    <n v="4.4000000000000004"/>
    <n v="10.82"/>
    <x v="0"/>
    <x v="14"/>
    <x v="2"/>
    <d v="2026-04-12T11:44:35"/>
  </r>
  <r>
    <n v="133"/>
    <x v="12"/>
    <x v="11"/>
    <x v="3"/>
    <n v="302"/>
    <n v="5.0999999999999996"/>
    <n v="10.88"/>
    <x v="0"/>
    <x v="2"/>
    <x v="2"/>
    <d v="2026-04-12T11:44:54"/>
  </r>
  <r>
    <n v="134"/>
    <x v="13"/>
    <x v="12"/>
    <x v="2"/>
    <n v="315"/>
    <n v="2.4"/>
    <n v="13.41"/>
    <x v="0"/>
    <x v="13"/>
    <x v="2"/>
    <d v="2026-04-12T11:45:15"/>
  </r>
  <r>
    <n v="135"/>
    <x v="14"/>
    <x v="13"/>
    <x v="0"/>
    <n v="435"/>
    <n v="5.4"/>
    <n v="9.52"/>
    <x v="0"/>
    <x v="14"/>
    <x v="2"/>
    <d v="2026-04-12T11:45:33"/>
  </r>
  <r>
    <n v="136"/>
    <x v="15"/>
    <x v="14"/>
    <x v="0"/>
    <n v="323"/>
    <n v="5.9"/>
    <n v="19.670000000000002"/>
    <x v="0"/>
    <x v="16"/>
    <x v="2"/>
    <d v="2026-04-12T11:45:54"/>
  </r>
  <r>
    <n v="137"/>
    <x v="16"/>
    <x v="15"/>
    <x v="0"/>
    <n v="103"/>
    <n v="6.7"/>
    <n v="24.01"/>
    <x v="0"/>
    <x v="20"/>
    <x v="2"/>
    <d v="2026-04-12T11:46:11"/>
  </r>
  <r>
    <n v="138"/>
    <x v="17"/>
    <x v="11"/>
    <x v="3"/>
    <n v="410"/>
    <n v="1.8"/>
    <n v="17.850000000000001"/>
    <x v="0"/>
    <x v="4"/>
    <x v="2"/>
    <d v="2026-04-12T11:46:30"/>
  </r>
  <r>
    <n v="139"/>
    <x v="18"/>
    <x v="5"/>
    <x v="4"/>
    <n v="443"/>
    <n v="5"/>
    <n v="19.93"/>
    <x v="0"/>
    <x v="11"/>
    <x v="2"/>
    <d v="2026-04-12T11:46:54"/>
  </r>
  <r>
    <n v="140"/>
    <x v="19"/>
    <x v="11"/>
    <x v="3"/>
    <n v="115"/>
    <n v="4.5"/>
    <n v="21.84"/>
    <x v="0"/>
    <x v="1"/>
    <x v="2"/>
    <d v="2026-04-12T11:47:18"/>
  </r>
  <r>
    <n v="141"/>
    <x v="0"/>
    <x v="0"/>
    <x v="0"/>
    <n v="262"/>
    <n v="3"/>
    <n v="14.25"/>
    <x v="1"/>
    <x v="9"/>
    <x v="3"/>
    <d v="2026-04-13T13:39:44"/>
  </r>
  <r>
    <n v="142"/>
    <x v="1"/>
    <x v="1"/>
    <x v="1"/>
    <n v="222"/>
    <n v="4.4000000000000004"/>
    <n v="8.0399999999999991"/>
    <x v="0"/>
    <x v="20"/>
    <x v="3"/>
    <d v="2026-04-13T13:40:01"/>
  </r>
  <r>
    <n v="143"/>
    <x v="2"/>
    <x v="1"/>
    <x v="1"/>
    <n v="429"/>
    <n v="7"/>
    <n v="11.65"/>
    <x v="0"/>
    <x v="11"/>
    <x v="3"/>
    <d v="2026-04-13T13:40:26"/>
  </r>
  <r>
    <n v="144"/>
    <x v="3"/>
    <x v="2"/>
    <x v="2"/>
    <n v="129"/>
    <n v="6.9"/>
    <n v="7.17"/>
    <x v="0"/>
    <x v="20"/>
    <x v="3"/>
    <d v="2026-04-13T13:40:48"/>
  </r>
  <r>
    <n v="145"/>
    <x v="4"/>
    <x v="3"/>
    <x v="0"/>
    <n v="217"/>
    <n v="3.2"/>
    <n v="12.33"/>
    <x v="0"/>
    <x v="20"/>
    <x v="3"/>
    <d v="2026-04-13T13:41:05"/>
  </r>
  <r>
    <n v="146"/>
    <x v="5"/>
    <x v="4"/>
    <x v="3"/>
    <n v="330"/>
    <n v="1.5"/>
    <n v="18.38"/>
    <x v="0"/>
    <x v="14"/>
    <x v="3"/>
    <d v="2026-04-13T13:41:16"/>
  </r>
  <r>
    <n v="147"/>
    <x v="6"/>
    <x v="5"/>
    <x v="4"/>
    <n v="311"/>
    <n v="4.3"/>
    <n v="24.67"/>
    <x v="0"/>
    <x v="10"/>
    <x v="3"/>
    <d v="2026-04-13T13:41:32"/>
  </r>
  <r>
    <n v="148"/>
    <x v="7"/>
    <x v="6"/>
    <x v="5"/>
    <n v="154"/>
    <n v="6.7"/>
    <n v="22.23"/>
    <x v="0"/>
    <x v="0"/>
    <x v="3"/>
    <d v="2026-04-13T13:41:53"/>
  </r>
  <r>
    <n v="149"/>
    <x v="8"/>
    <x v="7"/>
    <x v="6"/>
    <n v="132"/>
    <n v="2.2000000000000002"/>
    <n v="13.01"/>
    <x v="0"/>
    <x v="9"/>
    <x v="3"/>
    <d v="2026-04-13T13:42:17"/>
  </r>
  <r>
    <n v="150"/>
    <x v="9"/>
    <x v="8"/>
    <x v="1"/>
    <n v="379"/>
    <n v="3.2"/>
    <n v="15.54"/>
    <x v="0"/>
    <x v="18"/>
    <x v="3"/>
    <d v="2026-04-13T13:42:37"/>
  </r>
  <r>
    <n v="151"/>
    <x v="10"/>
    <x v="9"/>
    <x v="0"/>
    <n v="388"/>
    <n v="4.5999999999999996"/>
    <n v="10.74"/>
    <x v="0"/>
    <x v="7"/>
    <x v="3"/>
    <d v="2026-04-13T13:42:58"/>
  </r>
  <r>
    <n v="152"/>
    <x v="11"/>
    <x v="10"/>
    <x v="3"/>
    <n v="183"/>
    <n v="1.6"/>
    <n v="14.82"/>
    <x v="0"/>
    <x v="10"/>
    <x v="3"/>
    <d v="2026-04-13T13:43:15"/>
  </r>
  <r>
    <n v="153"/>
    <x v="12"/>
    <x v="11"/>
    <x v="3"/>
    <n v="436"/>
    <n v="5.0999999999999996"/>
    <n v="18.93"/>
    <x v="0"/>
    <x v="20"/>
    <x v="3"/>
    <d v="2026-04-13T13:43:36"/>
  </r>
  <r>
    <n v="154"/>
    <x v="13"/>
    <x v="12"/>
    <x v="2"/>
    <n v="135"/>
    <n v="2.1"/>
    <n v="18.12"/>
    <x v="0"/>
    <x v="7"/>
    <x v="3"/>
    <d v="2026-04-13T13:43:50"/>
  </r>
  <r>
    <n v="155"/>
    <x v="14"/>
    <x v="13"/>
    <x v="0"/>
    <n v="430"/>
    <n v="2.2999999999999998"/>
    <n v="8.0399999999999991"/>
    <x v="0"/>
    <x v="20"/>
    <x v="3"/>
    <d v="2026-04-13T13:44:06"/>
  </r>
  <r>
    <n v="156"/>
    <x v="15"/>
    <x v="14"/>
    <x v="0"/>
    <n v="213"/>
    <n v="2.2999999999999998"/>
    <n v="22.73"/>
    <x v="0"/>
    <x v="19"/>
    <x v="3"/>
    <d v="2026-04-13T13:44:22"/>
  </r>
  <r>
    <n v="157"/>
    <x v="16"/>
    <x v="15"/>
    <x v="0"/>
    <n v="119"/>
    <n v="6.9"/>
    <n v="20.47"/>
    <x v="0"/>
    <x v="18"/>
    <x v="3"/>
    <d v="2026-04-13T13:44:27"/>
  </r>
  <r>
    <n v="158"/>
    <x v="17"/>
    <x v="11"/>
    <x v="3"/>
    <n v="467"/>
    <n v="2.6"/>
    <n v="10.76"/>
    <x v="0"/>
    <x v="19"/>
    <x v="3"/>
    <d v="2026-04-13T13:44:52"/>
  </r>
  <r>
    <n v="159"/>
    <x v="18"/>
    <x v="5"/>
    <x v="4"/>
    <n v="167"/>
    <n v="1.8"/>
    <n v="9.31"/>
    <x v="0"/>
    <x v="17"/>
    <x v="3"/>
    <d v="2026-04-13T13:45:13"/>
  </r>
  <r>
    <n v="160"/>
    <x v="19"/>
    <x v="11"/>
    <x v="3"/>
    <n v="463"/>
    <n v="6.4"/>
    <n v="12.66"/>
    <x v="0"/>
    <x v="17"/>
    <x v="3"/>
    <d v="2026-04-13T13:45:18"/>
  </r>
  <r>
    <n v="161"/>
    <x v="0"/>
    <x v="0"/>
    <x v="0"/>
    <n v="247"/>
    <n v="1.7"/>
    <n v="21.58"/>
    <x v="0"/>
    <x v="17"/>
    <x v="3"/>
    <d v="2026-04-13T13:57:04"/>
  </r>
  <r>
    <n v="162"/>
    <x v="1"/>
    <x v="1"/>
    <x v="1"/>
    <n v="172"/>
    <n v="5.3"/>
    <n v="20.57"/>
    <x v="0"/>
    <x v="14"/>
    <x v="3"/>
    <d v="2026-04-13T13:57:28"/>
  </r>
  <r>
    <n v="163"/>
    <x v="2"/>
    <x v="1"/>
    <x v="1"/>
    <n v="447"/>
    <n v="5.9"/>
    <n v="15.28"/>
    <x v="0"/>
    <x v="14"/>
    <x v="3"/>
    <d v="2026-04-13T13:57:51"/>
  </r>
  <r>
    <n v="164"/>
    <x v="3"/>
    <x v="2"/>
    <x v="2"/>
    <n v="325"/>
    <n v="3.1"/>
    <n v="16.07"/>
    <x v="0"/>
    <x v="17"/>
    <x v="3"/>
    <d v="2026-04-13T13:58:01"/>
  </r>
  <r>
    <n v="165"/>
    <x v="4"/>
    <x v="3"/>
    <x v="0"/>
    <n v="324"/>
    <n v="2.1"/>
    <n v="21.41"/>
    <x v="0"/>
    <x v="6"/>
    <x v="3"/>
    <d v="2026-04-13T13:58:18"/>
  </r>
  <r>
    <n v="166"/>
    <x v="5"/>
    <x v="4"/>
    <x v="3"/>
    <n v="462"/>
    <n v="5.3"/>
    <n v="9.36"/>
    <x v="0"/>
    <x v="19"/>
    <x v="3"/>
    <d v="2026-04-13T13:58:36"/>
  </r>
  <r>
    <n v="167"/>
    <x v="6"/>
    <x v="5"/>
    <x v="4"/>
    <n v="403"/>
    <n v="4.9000000000000004"/>
    <n v="16.670000000000002"/>
    <x v="0"/>
    <x v="11"/>
    <x v="3"/>
    <d v="2026-04-13T13:59:01"/>
  </r>
  <r>
    <n v="168"/>
    <x v="7"/>
    <x v="6"/>
    <x v="5"/>
    <n v="469"/>
    <n v="5.5"/>
    <n v="9.44"/>
    <x v="0"/>
    <x v="8"/>
    <x v="3"/>
    <d v="2026-04-13T13:59:13"/>
  </r>
  <r>
    <n v="169"/>
    <x v="8"/>
    <x v="7"/>
    <x v="6"/>
    <n v="247"/>
    <n v="5.7"/>
    <n v="14.73"/>
    <x v="0"/>
    <x v="2"/>
    <x v="3"/>
    <d v="2026-04-13T13:59:34"/>
  </r>
  <r>
    <n v="170"/>
    <x v="9"/>
    <x v="8"/>
    <x v="1"/>
    <n v="273"/>
    <n v="3.9"/>
    <n v="11.71"/>
    <x v="0"/>
    <x v="7"/>
    <x v="3"/>
    <d v="2026-04-13T13:59:59"/>
  </r>
  <r>
    <n v="171"/>
    <x v="10"/>
    <x v="9"/>
    <x v="0"/>
    <n v="264"/>
    <n v="2.2000000000000002"/>
    <n v="19.010000000000002"/>
    <x v="0"/>
    <x v="8"/>
    <x v="3"/>
    <d v="2026-04-13T14:00:20"/>
  </r>
  <r>
    <n v="172"/>
    <x v="11"/>
    <x v="10"/>
    <x v="3"/>
    <n v="340"/>
    <n v="3"/>
    <n v="19.45"/>
    <x v="0"/>
    <x v="19"/>
    <x v="3"/>
    <d v="2026-04-13T14:00:45"/>
  </r>
  <r>
    <n v="173"/>
    <x v="12"/>
    <x v="11"/>
    <x v="3"/>
    <n v="341"/>
    <n v="5.7"/>
    <n v="22.51"/>
    <x v="0"/>
    <x v="8"/>
    <x v="3"/>
    <d v="2026-04-13T14:00:55"/>
  </r>
  <r>
    <n v="174"/>
    <x v="13"/>
    <x v="12"/>
    <x v="2"/>
    <n v="414"/>
    <n v="2.2000000000000002"/>
    <n v="13.79"/>
    <x v="0"/>
    <x v="3"/>
    <x v="3"/>
    <d v="2026-04-13T14:01:18"/>
  </r>
  <r>
    <n v="175"/>
    <x v="14"/>
    <x v="13"/>
    <x v="0"/>
    <n v="155"/>
    <n v="6.4"/>
    <n v="5.93"/>
    <x v="0"/>
    <x v="19"/>
    <x v="3"/>
    <d v="2026-04-13T14:01:43"/>
  </r>
  <r>
    <n v="176"/>
    <x v="15"/>
    <x v="14"/>
    <x v="0"/>
    <n v="444"/>
    <n v="2.2000000000000002"/>
    <n v="7.22"/>
    <x v="0"/>
    <x v="1"/>
    <x v="3"/>
    <d v="2026-04-13T14:01:55"/>
  </r>
  <r>
    <n v="177"/>
    <x v="16"/>
    <x v="15"/>
    <x v="0"/>
    <n v="459"/>
    <n v="6.8"/>
    <n v="19.399999999999999"/>
    <x v="0"/>
    <x v="3"/>
    <x v="3"/>
    <d v="2026-04-13T14:02:04"/>
  </r>
  <r>
    <n v="178"/>
    <x v="17"/>
    <x v="11"/>
    <x v="3"/>
    <n v="428"/>
    <n v="1.7"/>
    <n v="5.9"/>
    <x v="0"/>
    <x v="16"/>
    <x v="3"/>
    <d v="2026-04-13T14:02:13"/>
  </r>
  <r>
    <n v="179"/>
    <x v="18"/>
    <x v="5"/>
    <x v="4"/>
    <n v="387"/>
    <n v="5"/>
    <n v="23.25"/>
    <x v="1"/>
    <x v="0"/>
    <x v="3"/>
    <d v="2026-04-13T14:02:18"/>
  </r>
  <r>
    <n v="180"/>
    <x v="19"/>
    <x v="11"/>
    <x v="3"/>
    <n v="484"/>
    <n v="5.4"/>
    <n v="5.71"/>
    <x v="0"/>
    <x v="5"/>
    <x v="3"/>
    <d v="2026-04-13T14:02:42"/>
  </r>
  <r>
    <n v="181"/>
    <x v="0"/>
    <x v="0"/>
    <x v="0"/>
    <n v="343"/>
    <n v="5.9"/>
    <n v="10.96"/>
    <x v="0"/>
    <x v="4"/>
    <x v="3"/>
    <d v="2026-04-13T14:18:08"/>
  </r>
  <r>
    <n v="182"/>
    <x v="1"/>
    <x v="1"/>
    <x v="1"/>
    <n v="251"/>
    <n v="4"/>
    <n v="18.309999999999999"/>
    <x v="0"/>
    <x v="6"/>
    <x v="3"/>
    <d v="2026-04-13T14:18:19"/>
  </r>
  <r>
    <n v="183"/>
    <x v="2"/>
    <x v="1"/>
    <x v="1"/>
    <n v="338"/>
    <n v="2.9"/>
    <n v="8.52"/>
    <x v="0"/>
    <x v="14"/>
    <x v="3"/>
    <d v="2026-04-13T14:18:25"/>
  </r>
  <r>
    <n v="184"/>
    <x v="3"/>
    <x v="2"/>
    <x v="2"/>
    <n v="271"/>
    <n v="5.7"/>
    <n v="9.69"/>
    <x v="0"/>
    <x v="1"/>
    <x v="3"/>
    <d v="2026-04-13T14:18:36"/>
  </r>
  <r>
    <n v="185"/>
    <x v="4"/>
    <x v="3"/>
    <x v="0"/>
    <n v="448"/>
    <n v="3.2"/>
    <n v="8.66"/>
    <x v="0"/>
    <x v="11"/>
    <x v="3"/>
    <d v="2026-04-13T14:19:00"/>
  </r>
  <r>
    <n v="186"/>
    <x v="5"/>
    <x v="4"/>
    <x v="3"/>
    <n v="164"/>
    <n v="6.6"/>
    <n v="15.53"/>
    <x v="0"/>
    <x v="11"/>
    <x v="3"/>
    <d v="2026-04-13T14:19:14"/>
  </r>
  <r>
    <n v="187"/>
    <x v="6"/>
    <x v="5"/>
    <x v="4"/>
    <n v="252"/>
    <n v="1.9"/>
    <n v="5.46"/>
    <x v="0"/>
    <x v="17"/>
    <x v="3"/>
    <d v="2026-04-13T14:19:35"/>
  </r>
  <r>
    <n v="188"/>
    <x v="7"/>
    <x v="6"/>
    <x v="5"/>
    <n v="227"/>
    <n v="5.7"/>
    <n v="16.079999999999998"/>
    <x v="0"/>
    <x v="5"/>
    <x v="3"/>
    <d v="2026-04-13T14:19:44"/>
  </r>
  <r>
    <n v="189"/>
    <x v="8"/>
    <x v="7"/>
    <x v="6"/>
    <n v="189"/>
    <n v="3.1"/>
    <n v="13.18"/>
    <x v="0"/>
    <x v="15"/>
    <x v="3"/>
    <d v="2026-04-13T14:20:08"/>
  </r>
  <r>
    <n v="190"/>
    <x v="9"/>
    <x v="8"/>
    <x v="1"/>
    <n v="112"/>
    <n v="3.3"/>
    <n v="24.73"/>
    <x v="0"/>
    <x v="9"/>
    <x v="3"/>
    <d v="2026-04-13T14:20:26"/>
  </r>
  <r>
    <n v="191"/>
    <x v="10"/>
    <x v="9"/>
    <x v="0"/>
    <n v="495"/>
    <n v="4.3"/>
    <n v="19.71"/>
    <x v="0"/>
    <x v="15"/>
    <x v="3"/>
    <d v="2026-04-13T14:20:35"/>
  </r>
  <r>
    <n v="192"/>
    <x v="11"/>
    <x v="10"/>
    <x v="3"/>
    <n v="471"/>
    <n v="4.5999999999999996"/>
    <n v="24.86"/>
    <x v="0"/>
    <x v="12"/>
    <x v="3"/>
    <d v="2026-04-13T14:20:50"/>
  </r>
  <r>
    <n v="193"/>
    <x v="12"/>
    <x v="11"/>
    <x v="3"/>
    <n v="349"/>
    <n v="3.7"/>
    <n v="10.3"/>
    <x v="0"/>
    <x v="3"/>
    <x v="3"/>
    <d v="2026-04-13T14:21:13"/>
  </r>
  <r>
    <n v="194"/>
    <x v="13"/>
    <x v="12"/>
    <x v="2"/>
    <n v="367"/>
    <n v="2.5"/>
    <n v="21.67"/>
    <x v="0"/>
    <x v="13"/>
    <x v="3"/>
    <d v="2026-04-13T14:21:33"/>
  </r>
  <r>
    <n v="195"/>
    <x v="14"/>
    <x v="13"/>
    <x v="0"/>
    <n v="261"/>
    <n v="3.8"/>
    <n v="20.2"/>
    <x v="0"/>
    <x v="5"/>
    <x v="3"/>
    <d v="2026-04-13T14:21:58"/>
  </r>
  <r>
    <n v="196"/>
    <x v="15"/>
    <x v="14"/>
    <x v="0"/>
    <n v="356"/>
    <n v="4"/>
    <n v="7.4"/>
    <x v="0"/>
    <x v="15"/>
    <x v="3"/>
    <d v="2026-04-13T14:22:06"/>
  </r>
  <r>
    <n v="197"/>
    <x v="16"/>
    <x v="15"/>
    <x v="0"/>
    <n v="476"/>
    <n v="5.6"/>
    <n v="17.41"/>
    <x v="0"/>
    <x v="16"/>
    <x v="3"/>
    <d v="2026-04-13T14:22:12"/>
  </r>
  <r>
    <n v="198"/>
    <x v="17"/>
    <x v="11"/>
    <x v="3"/>
    <n v="169"/>
    <n v="3.8"/>
    <n v="12.71"/>
    <x v="0"/>
    <x v="7"/>
    <x v="3"/>
    <d v="2026-04-13T14:22:36"/>
  </r>
  <r>
    <n v="199"/>
    <x v="18"/>
    <x v="5"/>
    <x v="4"/>
    <n v="397"/>
    <n v="6.2"/>
    <n v="19.05"/>
    <x v="0"/>
    <x v="1"/>
    <x v="3"/>
    <d v="2026-04-13T14:22:46"/>
  </r>
  <r>
    <n v="200"/>
    <x v="19"/>
    <x v="11"/>
    <x v="3"/>
    <n v="151"/>
    <n v="6"/>
    <n v="14.87"/>
    <x v="0"/>
    <x v="11"/>
    <x v="3"/>
    <d v="2026-04-13T14:23:11"/>
  </r>
  <r>
    <n v="201"/>
    <x v="0"/>
    <x v="0"/>
    <x v="0"/>
    <n v="151"/>
    <n v="5.4"/>
    <n v="17.84"/>
    <x v="0"/>
    <x v="4"/>
    <x v="4"/>
    <d v="2026-04-16T15:59:28"/>
  </r>
  <r>
    <n v="202"/>
    <x v="1"/>
    <x v="1"/>
    <x v="1"/>
    <n v="218"/>
    <n v="4.4000000000000004"/>
    <n v="8.35"/>
    <x v="0"/>
    <x v="19"/>
    <x v="4"/>
    <d v="2026-04-16T15:59:48"/>
  </r>
  <r>
    <n v="203"/>
    <x v="2"/>
    <x v="1"/>
    <x v="1"/>
    <n v="227"/>
    <n v="5"/>
    <n v="5.82"/>
    <x v="0"/>
    <x v="0"/>
    <x v="4"/>
    <d v="2026-04-16T15:59:58"/>
  </r>
  <r>
    <n v="204"/>
    <x v="3"/>
    <x v="2"/>
    <x v="2"/>
    <n v="410"/>
    <n v="3.3"/>
    <n v="19.899999999999999"/>
    <x v="0"/>
    <x v="6"/>
    <x v="4"/>
    <d v="2026-04-16T16:00:04"/>
  </r>
  <r>
    <n v="205"/>
    <x v="4"/>
    <x v="3"/>
    <x v="0"/>
    <n v="293"/>
    <n v="6.5"/>
    <n v="14.83"/>
    <x v="1"/>
    <x v="18"/>
    <x v="4"/>
    <d v="2026-04-16T16:00:16"/>
  </r>
  <r>
    <n v="206"/>
    <x v="5"/>
    <x v="4"/>
    <x v="3"/>
    <n v="469"/>
    <n v="6.4"/>
    <n v="17.53"/>
    <x v="0"/>
    <x v="14"/>
    <x v="4"/>
    <d v="2026-04-16T16:00:25"/>
  </r>
  <r>
    <n v="207"/>
    <x v="6"/>
    <x v="5"/>
    <x v="4"/>
    <n v="279"/>
    <n v="4.9000000000000004"/>
    <n v="21.55"/>
    <x v="0"/>
    <x v="15"/>
    <x v="4"/>
    <d v="2026-04-16T16:00:46"/>
  </r>
  <r>
    <n v="208"/>
    <x v="7"/>
    <x v="6"/>
    <x v="5"/>
    <n v="179"/>
    <n v="2.4"/>
    <n v="24.16"/>
    <x v="0"/>
    <x v="20"/>
    <x v="4"/>
    <d v="2026-04-16T16:00:59"/>
  </r>
  <r>
    <n v="209"/>
    <x v="8"/>
    <x v="7"/>
    <x v="6"/>
    <n v="107"/>
    <n v="6.4"/>
    <n v="13.48"/>
    <x v="0"/>
    <x v="19"/>
    <x v="4"/>
    <d v="2026-04-16T16:01:23"/>
  </r>
  <r>
    <n v="210"/>
    <x v="9"/>
    <x v="8"/>
    <x v="1"/>
    <n v="495"/>
    <n v="2.9"/>
    <n v="18.87"/>
    <x v="0"/>
    <x v="5"/>
    <x v="4"/>
    <d v="2026-04-16T16:01:38"/>
  </r>
  <r>
    <n v="211"/>
    <x v="10"/>
    <x v="9"/>
    <x v="0"/>
    <n v="136"/>
    <n v="1.6"/>
    <n v="13.45"/>
    <x v="1"/>
    <x v="2"/>
    <x v="4"/>
    <d v="2026-04-16T16:01:57"/>
  </r>
  <r>
    <n v="212"/>
    <x v="11"/>
    <x v="10"/>
    <x v="3"/>
    <n v="186"/>
    <n v="5.7"/>
    <n v="7.66"/>
    <x v="0"/>
    <x v="8"/>
    <x v="4"/>
    <d v="2026-04-16T16:02:10"/>
  </r>
  <r>
    <n v="213"/>
    <x v="12"/>
    <x v="11"/>
    <x v="3"/>
    <n v="307"/>
    <n v="5.5"/>
    <n v="19.75"/>
    <x v="1"/>
    <x v="6"/>
    <x v="4"/>
    <d v="2026-04-16T16:02:19"/>
  </r>
  <r>
    <n v="214"/>
    <x v="13"/>
    <x v="12"/>
    <x v="2"/>
    <n v="405"/>
    <n v="5.5"/>
    <n v="15.36"/>
    <x v="0"/>
    <x v="9"/>
    <x v="4"/>
    <d v="2026-04-16T16:02:27"/>
  </r>
  <r>
    <n v="215"/>
    <x v="14"/>
    <x v="13"/>
    <x v="0"/>
    <n v="274"/>
    <n v="2.2999999999999998"/>
    <n v="16.420000000000002"/>
    <x v="0"/>
    <x v="10"/>
    <x v="4"/>
    <d v="2026-04-16T16:02:35"/>
  </r>
  <r>
    <n v="216"/>
    <x v="15"/>
    <x v="14"/>
    <x v="0"/>
    <n v="348"/>
    <n v="6.1"/>
    <n v="13.12"/>
    <x v="0"/>
    <x v="9"/>
    <x v="4"/>
    <d v="2026-04-16T16:02:54"/>
  </r>
  <r>
    <n v="217"/>
    <x v="16"/>
    <x v="15"/>
    <x v="0"/>
    <n v="144"/>
    <n v="4.3"/>
    <n v="6.48"/>
    <x v="0"/>
    <x v="5"/>
    <x v="4"/>
    <d v="2026-04-16T16:03:17"/>
  </r>
  <r>
    <n v="218"/>
    <x v="17"/>
    <x v="11"/>
    <x v="3"/>
    <n v="375"/>
    <n v="5.9"/>
    <n v="16.32"/>
    <x v="0"/>
    <x v="6"/>
    <x v="4"/>
    <d v="2026-04-16T16:03:36"/>
  </r>
  <r>
    <n v="219"/>
    <x v="18"/>
    <x v="5"/>
    <x v="4"/>
    <n v="336"/>
    <n v="2.6"/>
    <n v="14.03"/>
    <x v="0"/>
    <x v="20"/>
    <x v="4"/>
    <d v="2026-04-16T16:04:00"/>
  </r>
  <r>
    <n v="220"/>
    <x v="19"/>
    <x v="11"/>
    <x v="3"/>
    <n v="119"/>
    <n v="5.5"/>
    <n v="11"/>
    <x v="0"/>
    <x v="12"/>
    <x v="4"/>
    <d v="2026-04-16T16:04:19"/>
  </r>
  <r>
    <n v="221"/>
    <x v="0"/>
    <x v="0"/>
    <x v="0"/>
    <n v="183"/>
    <n v="5.8"/>
    <n v="23.16"/>
    <x v="0"/>
    <x v="8"/>
    <x v="4"/>
    <d v="2026-04-16T16:04:33"/>
  </r>
  <r>
    <n v="222"/>
    <x v="1"/>
    <x v="1"/>
    <x v="1"/>
    <n v="367"/>
    <n v="5.2"/>
    <n v="11.76"/>
    <x v="0"/>
    <x v="19"/>
    <x v="4"/>
    <d v="2026-04-16T16:04:39"/>
  </r>
  <r>
    <n v="223"/>
    <x v="2"/>
    <x v="1"/>
    <x v="1"/>
    <n v="296"/>
    <n v="5.9"/>
    <n v="6.33"/>
    <x v="0"/>
    <x v="12"/>
    <x v="4"/>
    <d v="2026-04-16T16:04:52"/>
  </r>
  <r>
    <n v="224"/>
    <x v="3"/>
    <x v="2"/>
    <x v="2"/>
    <n v="188"/>
    <n v="5.4"/>
    <n v="17.29"/>
    <x v="0"/>
    <x v="14"/>
    <x v="4"/>
    <d v="2026-04-16T16:04:59"/>
  </r>
  <r>
    <n v="225"/>
    <x v="4"/>
    <x v="3"/>
    <x v="0"/>
    <n v="320"/>
    <n v="5.6"/>
    <n v="15.91"/>
    <x v="0"/>
    <x v="10"/>
    <x v="4"/>
    <d v="2026-04-16T16:05:14"/>
  </r>
  <r>
    <n v="226"/>
    <x v="5"/>
    <x v="4"/>
    <x v="3"/>
    <n v="166"/>
    <n v="3.5"/>
    <n v="14.91"/>
    <x v="1"/>
    <x v="1"/>
    <x v="4"/>
    <d v="2026-04-16T16:05:23"/>
  </r>
  <r>
    <n v="227"/>
    <x v="6"/>
    <x v="5"/>
    <x v="4"/>
    <n v="423"/>
    <n v="3.7"/>
    <n v="10.71"/>
    <x v="1"/>
    <x v="20"/>
    <x v="4"/>
    <d v="2026-04-16T16:05:38"/>
  </r>
  <r>
    <n v="228"/>
    <x v="7"/>
    <x v="6"/>
    <x v="5"/>
    <n v="232"/>
    <n v="5.2"/>
    <n v="21.01"/>
    <x v="0"/>
    <x v="10"/>
    <x v="4"/>
    <d v="2026-04-16T16:06:00"/>
  </r>
  <r>
    <n v="229"/>
    <x v="8"/>
    <x v="7"/>
    <x v="6"/>
    <n v="211"/>
    <n v="3.7"/>
    <n v="9.49"/>
    <x v="1"/>
    <x v="5"/>
    <x v="4"/>
    <d v="2026-04-16T16:06:20"/>
  </r>
  <r>
    <n v="230"/>
    <x v="9"/>
    <x v="8"/>
    <x v="1"/>
    <n v="465"/>
    <n v="5"/>
    <n v="20.25"/>
    <x v="0"/>
    <x v="8"/>
    <x v="4"/>
    <d v="2026-04-16T16:06:35"/>
  </r>
  <r>
    <n v="231"/>
    <x v="10"/>
    <x v="9"/>
    <x v="0"/>
    <n v="123"/>
    <n v="3.8"/>
    <n v="11.37"/>
    <x v="0"/>
    <x v="8"/>
    <x v="4"/>
    <d v="2026-04-16T16:06:41"/>
  </r>
  <r>
    <n v="232"/>
    <x v="11"/>
    <x v="10"/>
    <x v="3"/>
    <n v="398"/>
    <n v="4.9000000000000004"/>
    <n v="11.32"/>
    <x v="0"/>
    <x v="6"/>
    <x v="4"/>
    <d v="2026-04-16T16:07:02"/>
  </r>
  <r>
    <n v="233"/>
    <x v="12"/>
    <x v="11"/>
    <x v="3"/>
    <n v="439"/>
    <n v="5.6"/>
    <n v="17.87"/>
    <x v="0"/>
    <x v="3"/>
    <x v="4"/>
    <d v="2026-04-16T16:07:10"/>
  </r>
  <r>
    <n v="234"/>
    <x v="13"/>
    <x v="12"/>
    <x v="2"/>
    <n v="379"/>
    <n v="3.4"/>
    <n v="22.88"/>
    <x v="0"/>
    <x v="5"/>
    <x v="4"/>
    <d v="2026-04-16T16:07:25"/>
  </r>
  <r>
    <n v="235"/>
    <x v="14"/>
    <x v="13"/>
    <x v="0"/>
    <n v="333"/>
    <n v="4"/>
    <n v="10.89"/>
    <x v="1"/>
    <x v="19"/>
    <x v="4"/>
    <d v="2026-04-16T16:07:47"/>
  </r>
  <r>
    <n v="236"/>
    <x v="15"/>
    <x v="14"/>
    <x v="0"/>
    <n v="129"/>
    <n v="2.5"/>
    <n v="17.579999999999998"/>
    <x v="0"/>
    <x v="20"/>
    <x v="4"/>
    <d v="2026-04-16T16:08:10"/>
  </r>
  <r>
    <n v="237"/>
    <x v="16"/>
    <x v="15"/>
    <x v="0"/>
    <n v="367"/>
    <n v="3.9"/>
    <n v="15.87"/>
    <x v="0"/>
    <x v="14"/>
    <x v="4"/>
    <d v="2026-04-16T16:08:27"/>
  </r>
  <r>
    <n v="238"/>
    <x v="17"/>
    <x v="11"/>
    <x v="3"/>
    <n v="471"/>
    <n v="3.5"/>
    <n v="9.66"/>
    <x v="0"/>
    <x v="14"/>
    <x v="4"/>
    <d v="2026-04-16T16:08:49"/>
  </r>
  <r>
    <n v="239"/>
    <x v="18"/>
    <x v="5"/>
    <x v="4"/>
    <n v="204"/>
    <n v="1.7"/>
    <n v="11.19"/>
    <x v="1"/>
    <x v="5"/>
    <x v="4"/>
    <d v="2026-04-16T16:08:58"/>
  </r>
  <r>
    <n v="240"/>
    <x v="19"/>
    <x v="11"/>
    <x v="3"/>
    <n v="269"/>
    <n v="4.9000000000000004"/>
    <n v="12.28"/>
    <x v="0"/>
    <x v="9"/>
    <x v="4"/>
    <d v="2026-04-16T16:09:19"/>
  </r>
  <r>
    <n v="241"/>
    <x v="0"/>
    <x v="0"/>
    <x v="0"/>
    <n v="150"/>
    <n v="3.2"/>
    <n v="22.64"/>
    <x v="0"/>
    <x v="1"/>
    <x v="4"/>
    <d v="2026-04-16T16:28:28"/>
  </r>
  <r>
    <n v="242"/>
    <x v="1"/>
    <x v="1"/>
    <x v="1"/>
    <n v="113"/>
    <n v="2.7"/>
    <n v="10.210000000000001"/>
    <x v="0"/>
    <x v="8"/>
    <x v="4"/>
    <d v="2026-04-16T16:28:34"/>
  </r>
  <r>
    <n v="243"/>
    <x v="2"/>
    <x v="1"/>
    <x v="1"/>
    <n v="452"/>
    <n v="5.0999999999999996"/>
    <n v="19.440000000000001"/>
    <x v="0"/>
    <x v="14"/>
    <x v="4"/>
    <d v="2026-04-16T16:28:58"/>
  </r>
  <r>
    <n v="244"/>
    <x v="3"/>
    <x v="2"/>
    <x v="2"/>
    <n v="438"/>
    <n v="5.0999999999999996"/>
    <n v="11.59"/>
    <x v="0"/>
    <x v="2"/>
    <x v="4"/>
    <d v="2026-04-16T16:29:07"/>
  </r>
  <r>
    <n v="245"/>
    <x v="4"/>
    <x v="3"/>
    <x v="0"/>
    <n v="376"/>
    <n v="3.4"/>
    <n v="7.06"/>
    <x v="0"/>
    <x v="0"/>
    <x v="4"/>
    <d v="2026-04-16T16:29:23"/>
  </r>
  <r>
    <n v="246"/>
    <x v="5"/>
    <x v="4"/>
    <x v="3"/>
    <n v="370"/>
    <n v="3.7"/>
    <n v="13.92"/>
    <x v="0"/>
    <x v="11"/>
    <x v="4"/>
    <d v="2026-04-16T16:29:45"/>
  </r>
  <r>
    <n v="247"/>
    <x v="6"/>
    <x v="5"/>
    <x v="4"/>
    <n v="399"/>
    <n v="4.5999999999999996"/>
    <n v="15.66"/>
    <x v="0"/>
    <x v="17"/>
    <x v="4"/>
    <d v="2026-04-16T16:30:05"/>
  </r>
  <r>
    <n v="248"/>
    <x v="7"/>
    <x v="6"/>
    <x v="5"/>
    <n v="440"/>
    <n v="4.9000000000000004"/>
    <n v="24.69"/>
    <x v="0"/>
    <x v="7"/>
    <x v="4"/>
    <d v="2026-04-16T16:30:24"/>
  </r>
  <r>
    <n v="249"/>
    <x v="8"/>
    <x v="7"/>
    <x v="6"/>
    <n v="457"/>
    <n v="6.4"/>
    <n v="19.64"/>
    <x v="0"/>
    <x v="15"/>
    <x v="4"/>
    <d v="2026-04-16T16:30:43"/>
  </r>
  <r>
    <n v="250"/>
    <x v="9"/>
    <x v="8"/>
    <x v="1"/>
    <n v="153"/>
    <n v="4.0999999999999996"/>
    <n v="10.4"/>
    <x v="0"/>
    <x v="20"/>
    <x v="4"/>
    <d v="2026-04-16T16:31:04"/>
  </r>
  <r>
    <n v="251"/>
    <x v="10"/>
    <x v="9"/>
    <x v="0"/>
    <n v="114"/>
    <n v="5.9"/>
    <n v="20.95"/>
    <x v="0"/>
    <x v="11"/>
    <x v="4"/>
    <d v="2026-04-16T16:31:26"/>
  </r>
  <r>
    <n v="252"/>
    <x v="11"/>
    <x v="10"/>
    <x v="3"/>
    <n v="258"/>
    <n v="2.6"/>
    <n v="15.63"/>
    <x v="0"/>
    <x v="14"/>
    <x v="4"/>
    <d v="2026-04-16T16:31:38"/>
  </r>
  <r>
    <n v="253"/>
    <x v="12"/>
    <x v="11"/>
    <x v="3"/>
    <n v="437"/>
    <n v="6.7"/>
    <n v="19.149999999999999"/>
    <x v="0"/>
    <x v="16"/>
    <x v="4"/>
    <d v="2026-04-16T16:31:44"/>
  </r>
  <r>
    <n v="254"/>
    <x v="13"/>
    <x v="12"/>
    <x v="2"/>
    <n v="357"/>
    <n v="4.9000000000000004"/>
    <n v="9.32"/>
    <x v="0"/>
    <x v="6"/>
    <x v="4"/>
    <d v="2026-04-16T16:32:09"/>
  </r>
  <r>
    <n v="255"/>
    <x v="14"/>
    <x v="13"/>
    <x v="0"/>
    <n v="170"/>
    <n v="6.1"/>
    <n v="17.260000000000002"/>
    <x v="0"/>
    <x v="15"/>
    <x v="4"/>
    <d v="2026-04-16T16:32:26"/>
  </r>
  <r>
    <n v="256"/>
    <x v="15"/>
    <x v="14"/>
    <x v="0"/>
    <n v="251"/>
    <n v="5.4"/>
    <n v="9.7200000000000006"/>
    <x v="0"/>
    <x v="2"/>
    <x v="4"/>
    <d v="2026-04-16T16:32:45"/>
  </r>
  <r>
    <n v="257"/>
    <x v="16"/>
    <x v="15"/>
    <x v="0"/>
    <n v="153"/>
    <n v="4.0999999999999996"/>
    <n v="24.26"/>
    <x v="0"/>
    <x v="15"/>
    <x v="4"/>
    <d v="2026-04-16T16:32:58"/>
  </r>
  <r>
    <n v="258"/>
    <x v="17"/>
    <x v="11"/>
    <x v="3"/>
    <n v="239"/>
    <n v="3.5"/>
    <n v="17.91"/>
    <x v="0"/>
    <x v="2"/>
    <x v="4"/>
    <d v="2026-04-16T16:33:10"/>
  </r>
  <r>
    <n v="259"/>
    <x v="18"/>
    <x v="5"/>
    <x v="4"/>
    <n v="441"/>
    <n v="3.9"/>
    <n v="15.93"/>
    <x v="0"/>
    <x v="20"/>
    <x v="4"/>
    <d v="2026-04-16T16:33:23"/>
  </r>
  <r>
    <n v="260"/>
    <x v="19"/>
    <x v="11"/>
    <x v="3"/>
    <n v="155"/>
    <n v="7"/>
    <n v="8.4499999999999993"/>
    <x v="0"/>
    <x v="0"/>
    <x v="4"/>
    <d v="2026-04-16T16:33:28"/>
  </r>
  <r>
    <n v="261"/>
    <x v="0"/>
    <x v="0"/>
    <x v="0"/>
    <n v="224"/>
    <n v="1.6"/>
    <n v="5.5"/>
    <x v="0"/>
    <x v="10"/>
    <x v="5"/>
    <d v="2026-07-05T11:07:32"/>
  </r>
  <r>
    <n v="262"/>
    <x v="1"/>
    <x v="1"/>
    <x v="1"/>
    <n v="141"/>
    <n v="3.8"/>
    <n v="23.14"/>
    <x v="0"/>
    <x v="11"/>
    <x v="5"/>
    <d v="2026-07-05T11:07:51"/>
  </r>
  <r>
    <n v="263"/>
    <x v="2"/>
    <x v="1"/>
    <x v="1"/>
    <n v="453"/>
    <n v="1.7"/>
    <n v="10.130000000000001"/>
    <x v="0"/>
    <x v="12"/>
    <x v="5"/>
    <d v="2026-07-05T11:07:56"/>
  </r>
  <r>
    <n v="264"/>
    <x v="3"/>
    <x v="2"/>
    <x v="2"/>
    <n v="172"/>
    <n v="5.4"/>
    <n v="15.55"/>
    <x v="0"/>
    <x v="0"/>
    <x v="5"/>
    <d v="2026-07-05T11:08:08"/>
  </r>
  <r>
    <n v="265"/>
    <x v="4"/>
    <x v="3"/>
    <x v="0"/>
    <n v="426"/>
    <n v="5.6"/>
    <n v="6.93"/>
    <x v="0"/>
    <x v="6"/>
    <x v="5"/>
    <d v="2026-07-05T11:08:24"/>
  </r>
  <r>
    <n v="266"/>
    <x v="5"/>
    <x v="4"/>
    <x v="3"/>
    <n v="207"/>
    <n v="5"/>
    <n v="17.29"/>
    <x v="0"/>
    <x v="14"/>
    <x v="5"/>
    <d v="2026-07-05T11:08:35"/>
  </r>
  <r>
    <n v="267"/>
    <x v="6"/>
    <x v="5"/>
    <x v="4"/>
    <n v="260"/>
    <n v="3.5"/>
    <n v="13.26"/>
    <x v="0"/>
    <x v="9"/>
    <x v="5"/>
    <d v="2026-07-05T11:08:57"/>
  </r>
  <r>
    <n v="268"/>
    <x v="7"/>
    <x v="6"/>
    <x v="5"/>
    <n v="195"/>
    <n v="7"/>
    <n v="22.92"/>
    <x v="0"/>
    <x v="10"/>
    <x v="5"/>
    <d v="2026-07-05T11:09:05"/>
  </r>
  <r>
    <n v="269"/>
    <x v="8"/>
    <x v="7"/>
    <x v="6"/>
    <n v="468"/>
    <n v="6.5"/>
    <n v="20.03"/>
    <x v="0"/>
    <x v="16"/>
    <x v="5"/>
    <d v="2026-07-05T11:09:20"/>
  </r>
  <r>
    <n v="270"/>
    <x v="9"/>
    <x v="8"/>
    <x v="1"/>
    <n v="443"/>
    <n v="5.3"/>
    <n v="16.5"/>
    <x v="0"/>
    <x v="10"/>
    <x v="5"/>
    <d v="2026-07-05T11:09:37"/>
  </r>
  <r>
    <n v="271"/>
    <x v="10"/>
    <x v="9"/>
    <x v="0"/>
    <n v="297"/>
    <n v="6.6"/>
    <n v="9.39"/>
    <x v="0"/>
    <x v="10"/>
    <x v="5"/>
    <d v="2026-07-05T11:09:50"/>
  </r>
  <r>
    <n v="272"/>
    <x v="11"/>
    <x v="10"/>
    <x v="3"/>
    <n v="279"/>
    <n v="4.7"/>
    <n v="13.72"/>
    <x v="0"/>
    <x v="5"/>
    <x v="5"/>
    <d v="2026-07-05T11:10:14"/>
  </r>
  <r>
    <n v="273"/>
    <x v="12"/>
    <x v="11"/>
    <x v="3"/>
    <n v="481"/>
    <n v="6.9"/>
    <n v="21.71"/>
    <x v="0"/>
    <x v="15"/>
    <x v="5"/>
    <d v="2026-07-05T11:10:36"/>
  </r>
  <r>
    <n v="274"/>
    <x v="13"/>
    <x v="12"/>
    <x v="2"/>
    <n v="413"/>
    <n v="7"/>
    <n v="21.03"/>
    <x v="1"/>
    <x v="7"/>
    <x v="5"/>
    <d v="2026-07-05T11:11:00"/>
  </r>
  <r>
    <n v="275"/>
    <x v="14"/>
    <x v="13"/>
    <x v="0"/>
    <n v="213"/>
    <n v="2.7"/>
    <n v="17.309999999999999"/>
    <x v="0"/>
    <x v="2"/>
    <x v="5"/>
    <d v="2026-07-05T11:11:22"/>
  </r>
  <r>
    <n v="276"/>
    <x v="15"/>
    <x v="14"/>
    <x v="0"/>
    <n v="338"/>
    <n v="6"/>
    <n v="21.51"/>
    <x v="0"/>
    <x v="19"/>
    <x v="5"/>
    <d v="2026-07-05T11:11:29"/>
  </r>
  <r>
    <n v="277"/>
    <x v="16"/>
    <x v="15"/>
    <x v="0"/>
    <n v="325"/>
    <n v="5.8"/>
    <n v="20.59"/>
    <x v="0"/>
    <x v="17"/>
    <x v="5"/>
    <d v="2026-07-05T11:11:42"/>
  </r>
  <r>
    <n v="278"/>
    <x v="17"/>
    <x v="11"/>
    <x v="3"/>
    <n v="401"/>
    <n v="5.2"/>
    <n v="8.44"/>
    <x v="1"/>
    <x v="3"/>
    <x v="5"/>
    <d v="2026-07-05T11:11:58"/>
  </r>
  <r>
    <n v="279"/>
    <x v="18"/>
    <x v="5"/>
    <x v="4"/>
    <n v="125"/>
    <n v="2.2000000000000002"/>
    <n v="22.72"/>
    <x v="0"/>
    <x v="17"/>
    <x v="5"/>
    <d v="2026-07-05T11:12:21"/>
  </r>
  <r>
    <n v="280"/>
    <x v="19"/>
    <x v="11"/>
    <x v="3"/>
    <n v="396"/>
    <n v="2.8"/>
    <n v="20.09"/>
    <x v="0"/>
    <x v="10"/>
    <x v="5"/>
    <d v="2026-07-05T11:12: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1"/>
    <x v="0"/>
    <x v="0"/>
    <x v="0"/>
    <n v="452"/>
    <n v="1.6"/>
    <n v="14.65"/>
    <x v="0"/>
    <x v="0"/>
    <x v="0"/>
    <d v="2026-04-09T14:39:27"/>
  </r>
  <r>
    <n v="2"/>
    <x v="1"/>
    <x v="1"/>
    <x v="1"/>
    <n v="363"/>
    <n v="2.4"/>
    <n v="16.63"/>
    <x v="1"/>
    <x v="1"/>
    <x v="0"/>
    <d v="2026-04-09T14:39:42"/>
  </r>
  <r>
    <n v="3"/>
    <x v="2"/>
    <x v="1"/>
    <x v="1"/>
    <n v="325"/>
    <n v="6.8"/>
    <n v="22.62"/>
    <x v="0"/>
    <x v="2"/>
    <x v="0"/>
    <d v="2026-04-09T14:40:05"/>
  </r>
  <r>
    <n v="4"/>
    <x v="3"/>
    <x v="2"/>
    <x v="2"/>
    <n v="338"/>
    <n v="3.5"/>
    <n v="9.14"/>
    <x v="0"/>
    <x v="3"/>
    <x v="0"/>
    <d v="2026-04-09T14:40:15"/>
  </r>
  <r>
    <n v="5"/>
    <x v="4"/>
    <x v="3"/>
    <x v="0"/>
    <n v="226"/>
    <n v="2.1"/>
    <n v="7.69"/>
    <x v="0"/>
    <x v="4"/>
    <x v="0"/>
    <d v="2026-04-09T14:40:38"/>
  </r>
  <r>
    <n v="6"/>
    <x v="5"/>
    <x v="4"/>
    <x v="3"/>
    <n v="390"/>
    <n v="3.5"/>
    <n v="20.97"/>
    <x v="1"/>
    <x v="5"/>
    <x v="0"/>
    <d v="2026-04-09T14:40:44"/>
  </r>
  <r>
    <n v="7"/>
    <x v="6"/>
    <x v="5"/>
    <x v="4"/>
    <n v="399"/>
    <n v="4.3"/>
    <n v="10.24"/>
    <x v="0"/>
    <x v="4"/>
    <x v="0"/>
    <d v="2026-04-09T14:40:51"/>
  </r>
  <r>
    <n v="8"/>
    <x v="7"/>
    <x v="6"/>
    <x v="5"/>
    <n v="263"/>
    <n v="2.4"/>
    <n v="7.26"/>
    <x v="0"/>
    <x v="6"/>
    <x v="0"/>
    <d v="2026-04-09T14:40:56"/>
  </r>
  <r>
    <n v="9"/>
    <x v="8"/>
    <x v="7"/>
    <x v="6"/>
    <n v="459"/>
    <n v="6.5"/>
    <n v="11.69"/>
    <x v="0"/>
    <x v="5"/>
    <x v="0"/>
    <d v="2026-04-09T14:41:08"/>
  </r>
  <r>
    <n v="10"/>
    <x v="9"/>
    <x v="8"/>
    <x v="1"/>
    <n v="228"/>
    <n v="4.5"/>
    <n v="19.7"/>
    <x v="0"/>
    <x v="7"/>
    <x v="0"/>
    <d v="2026-04-09T14:41:31"/>
  </r>
  <r>
    <n v="11"/>
    <x v="10"/>
    <x v="9"/>
    <x v="0"/>
    <n v="335"/>
    <n v="2.2999999999999998"/>
    <n v="18.23"/>
    <x v="1"/>
    <x v="8"/>
    <x v="0"/>
    <d v="2026-04-09T14:41:45"/>
  </r>
  <r>
    <n v="12"/>
    <x v="11"/>
    <x v="10"/>
    <x v="3"/>
    <n v="348"/>
    <n v="5.2"/>
    <n v="16.079999999999998"/>
    <x v="0"/>
    <x v="9"/>
    <x v="0"/>
    <d v="2026-04-09T14:41:56"/>
  </r>
  <r>
    <n v="13"/>
    <x v="12"/>
    <x v="11"/>
    <x v="3"/>
    <n v="156"/>
    <n v="5.9"/>
    <n v="5.45"/>
    <x v="0"/>
    <x v="4"/>
    <x v="0"/>
    <d v="2026-04-09T14:42:05"/>
  </r>
  <r>
    <n v="14"/>
    <x v="13"/>
    <x v="12"/>
    <x v="2"/>
    <n v="468"/>
    <n v="5.7"/>
    <n v="11.49"/>
    <x v="0"/>
    <x v="4"/>
    <x v="0"/>
    <d v="2026-04-09T14:42:30"/>
  </r>
  <r>
    <n v="15"/>
    <x v="14"/>
    <x v="13"/>
    <x v="0"/>
    <n v="179"/>
    <n v="1.8"/>
    <n v="22.96"/>
    <x v="0"/>
    <x v="7"/>
    <x v="0"/>
    <d v="2026-04-09T14:42:41"/>
  </r>
  <r>
    <n v="16"/>
    <x v="15"/>
    <x v="14"/>
    <x v="0"/>
    <n v="249"/>
    <n v="6.4"/>
    <n v="24.5"/>
    <x v="0"/>
    <x v="5"/>
    <x v="0"/>
    <d v="2026-04-09T14:42:56"/>
  </r>
  <r>
    <n v="17"/>
    <x v="16"/>
    <x v="15"/>
    <x v="0"/>
    <n v="260"/>
    <n v="4.7"/>
    <n v="20.04"/>
    <x v="0"/>
    <x v="2"/>
    <x v="0"/>
    <d v="2026-04-09T14:43:19"/>
  </r>
  <r>
    <n v="18"/>
    <x v="17"/>
    <x v="11"/>
    <x v="3"/>
    <n v="217"/>
    <n v="4.0999999999999996"/>
    <n v="13.05"/>
    <x v="0"/>
    <x v="10"/>
    <x v="0"/>
    <d v="2026-04-09T14:43:24"/>
  </r>
  <r>
    <n v="19"/>
    <x v="18"/>
    <x v="5"/>
    <x v="4"/>
    <n v="125"/>
    <n v="3.9"/>
    <n v="17.75"/>
    <x v="1"/>
    <x v="11"/>
    <x v="0"/>
    <d v="2026-04-09T14:43:38"/>
  </r>
  <r>
    <n v="20"/>
    <x v="19"/>
    <x v="11"/>
    <x v="3"/>
    <n v="480"/>
    <n v="5.5"/>
    <n v="14.01"/>
    <x v="0"/>
    <x v="12"/>
    <x v="0"/>
    <d v="2026-04-09T14:43:54"/>
  </r>
  <r>
    <n v="21"/>
    <x v="0"/>
    <x v="0"/>
    <x v="0"/>
    <n v="160"/>
    <n v="4.7"/>
    <n v="17.809999999999999"/>
    <x v="0"/>
    <x v="13"/>
    <x v="0"/>
    <d v="2026-04-09T16:09:52"/>
  </r>
  <r>
    <n v="22"/>
    <x v="1"/>
    <x v="1"/>
    <x v="1"/>
    <n v="121"/>
    <n v="5.6"/>
    <n v="21.66"/>
    <x v="0"/>
    <x v="14"/>
    <x v="0"/>
    <d v="2026-04-09T16:10:05"/>
  </r>
  <r>
    <n v="23"/>
    <x v="2"/>
    <x v="1"/>
    <x v="1"/>
    <n v="367"/>
    <n v="5.4"/>
    <n v="13.58"/>
    <x v="0"/>
    <x v="4"/>
    <x v="0"/>
    <d v="2026-04-09T16:10:18"/>
  </r>
  <r>
    <n v="24"/>
    <x v="3"/>
    <x v="2"/>
    <x v="2"/>
    <n v="228"/>
    <n v="5.5"/>
    <n v="19.59"/>
    <x v="0"/>
    <x v="8"/>
    <x v="0"/>
    <d v="2026-04-09T16:10:36"/>
  </r>
  <r>
    <n v="25"/>
    <x v="4"/>
    <x v="3"/>
    <x v="0"/>
    <n v="179"/>
    <n v="4.0999999999999996"/>
    <n v="13.53"/>
    <x v="0"/>
    <x v="9"/>
    <x v="0"/>
    <d v="2026-04-09T16:10:41"/>
  </r>
  <r>
    <n v="26"/>
    <x v="5"/>
    <x v="4"/>
    <x v="3"/>
    <n v="189"/>
    <n v="3"/>
    <n v="20.420000000000002"/>
    <x v="0"/>
    <x v="5"/>
    <x v="0"/>
    <d v="2026-04-09T16:10:54"/>
  </r>
  <r>
    <n v="27"/>
    <x v="6"/>
    <x v="5"/>
    <x v="4"/>
    <n v="306"/>
    <n v="4.0999999999999996"/>
    <n v="12.49"/>
    <x v="0"/>
    <x v="15"/>
    <x v="0"/>
    <d v="2026-04-09T16:11:15"/>
  </r>
  <r>
    <n v="28"/>
    <x v="7"/>
    <x v="6"/>
    <x v="5"/>
    <n v="232"/>
    <n v="1.8"/>
    <n v="12.93"/>
    <x v="0"/>
    <x v="8"/>
    <x v="0"/>
    <d v="2026-04-09T16:11:36"/>
  </r>
  <r>
    <n v="29"/>
    <x v="8"/>
    <x v="7"/>
    <x v="6"/>
    <n v="162"/>
    <n v="4.3"/>
    <n v="11.92"/>
    <x v="0"/>
    <x v="16"/>
    <x v="0"/>
    <d v="2026-04-09T16:11:49"/>
  </r>
  <r>
    <n v="30"/>
    <x v="9"/>
    <x v="8"/>
    <x v="1"/>
    <n v="293"/>
    <n v="3.5"/>
    <n v="18.850000000000001"/>
    <x v="0"/>
    <x v="7"/>
    <x v="0"/>
    <d v="2026-04-09T16:11:56"/>
  </r>
  <r>
    <n v="31"/>
    <x v="10"/>
    <x v="9"/>
    <x v="0"/>
    <n v="247"/>
    <n v="2.2000000000000002"/>
    <n v="14.3"/>
    <x v="0"/>
    <x v="17"/>
    <x v="0"/>
    <d v="2026-04-09T16:12:05"/>
  </r>
  <r>
    <n v="32"/>
    <x v="11"/>
    <x v="10"/>
    <x v="3"/>
    <n v="394"/>
    <n v="6"/>
    <n v="14.62"/>
    <x v="0"/>
    <x v="1"/>
    <x v="0"/>
    <d v="2026-04-09T16:12:19"/>
  </r>
  <r>
    <n v="33"/>
    <x v="12"/>
    <x v="11"/>
    <x v="3"/>
    <n v="221"/>
    <n v="5.7"/>
    <n v="19.010000000000002"/>
    <x v="0"/>
    <x v="4"/>
    <x v="0"/>
    <d v="2026-04-09T16:12:42"/>
  </r>
  <r>
    <n v="34"/>
    <x v="13"/>
    <x v="12"/>
    <x v="2"/>
    <n v="467"/>
    <n v="4.9000000000000004"/>
    <n v="17.989999999999998"/>
    <x v="0"/>
    <x v="14"/>
    <x v="0"/>
    <d v="2026-04-09T16:12:51"/>
  </r>
  <r>
    <n v="35"/>
    <x v="14"/>
    <x v="13"/>
    <x v="0"/>
    <n v="320"/>
    <n v="1.6"/>
    <n v="21.7"/>
    <x v="0"/>
    <x v="2"/>
    <x v="0"/>
    <d v="2026-04-09T16:13:08"/>
  </r>
  <r>
    <n v="36"/>
    <x v="15"/>
    <x v="14"/>
    <x v="0"/>
    <n v="495"/>
    <n v="2.6"/>
    <n v="22"/>
    <x v="0"/>
    <x v="8"/>
    <x v="0"/>
    <d v="2026-04-09T16:13:28"/>
  </r>
  <r>
    <n v="37"/>
    <x v="16"/>
    <x v="15"/>
    <x v="0"/>
    <n v="371"/>
    <n v="3.5"/>
    <n v="16.920000000000002"/>
    <x v="0"/>
    <x v="17"/>
    <x v="0"/>
    <d v="2026-04-09T16:13:36"/>
  </r>
  <r>
    <n v="38"/>
    <x v="17"/>
    <x v="11"/>
    <x v="3"/>
    <n v="124"/>
    <n v="6.8"/>
    <n v="23.69"/>
    <x v="0"/>
    <x v="8"/>
    <x v="0"/>
    <d v="2026-04-09T16:14:01"/>
  </r>
  <r>
    <n v="39"/>
    <x v="18"/>
    <x v="5"/>
    <x v="4"/>
    <n v="380"/>
    <n v="5"/>
    <n v="9.35"/>
    <x v="0"/>
    <x v="10"/>
    <x v="0"/>
    <d v="2026-04-09T16:14:16"/>
  </r>
  <r>
    <n v="40"/>
    <x v="19"/>
    <x v="11"/>
    <x v="3"/>
    <n v="165"/>
    <n v="5.9"/>
    <n v="24.56"/>
    <x v="0"/>
    <x v="12"/>
    <x v="0"/>
    <d v="2026-04-09T16:14:26"/>
  </r>
  <r>
    <n v="41"/>
    <x v="0"/>
    <x v="0"/>
    <x v="0"/>
    <n v="428"/>
    <n v="6.7"/>
    <n v="21.91"/>
    <x v="1"/>
    <x v="18"/>
    <x v="0"/>
    <d v="2026-04-09T16:22:05"/>
  </r>
  <r>
    <n v="42"/>
    <x v="1"/>
    <x v="1"/>
    <x v="1"/>
    <n v="157"/>
    <n v="1.6"/>
    <n v="16.57"/>
    <x v="0"/>
    <x v="10"/>
    <x v="0"/>
    <d v="2026-04-09T16:22:12"/>
  </r>
  <r>
    <n v="43"/>
    <x v="2"/>
    <x v="1"/>
    <x v="1"/>
    <n v="279"/>
    <n v="6.2"/>
    <n v="24.35"/>
    <x v="0"/>
    <x v="13"/>
    <x v="0"/>
    <d v="2026-04-09T16:22:23"/>
  </r>
  <r>
    <n v="44"/>
    <x v="3"/>
    <x v="2"/>
    <x v="2"/>
    <n v="325"/>
    <n v="1.9"/>
    <n v="15.61"/>
    <x v="0"/>
    <x v="4"/>
    <x v="0"/>
    <d v="2026-04-09T16:22:46"/>
  </r>
  <r>
    <n v="45"/>
    <x v="4"/>
    <x v="3"/>
    <x v="0"/>
    <n v="467"/>
    <n v="6.5"/>
    <n v="17.809999999999999"/>
    <x v="0"/>
    <x v="13"/>
    <x v="0"/>
    <d v="2026-04-09T16:23:00"/>
  </r>
  <r>
    <n v="46"/>
    <x v="5"/>
    <x v="4"/>
    <x v="3"/>
    <n v="135"/>
    <n v="3.6"/>
    <n v="12.24"/>
    <x v="0"/>
    <x v="19"/>
    <x v="0"/>
    <d v="2026-04-09T16:23:17"/>
  </r>
  <r>
    <n v="47"/>
    <x v="6"/>
    <x v="5"/>
    <x v="4"/>
    <n v="299"/>
    <n v="2.1"/>
    <n v="14.06"/>
    <x v="0"/>
    <x v="19"/>
    <x v="0"/>
    <d v="2026-04-09T16:23:37"/>
  </r>
  <r>
    <n v="48"/>
    <x v="7"/>
    <x v="6"/>
    <x v="5"/>
    <n v="405"/>
    <n v="1.6"/>
    <n v="5.9"/>
    <x v="0"/>
    <x v="15"/>
    <x v="0"/>
    <d v="2026-04-09T16:23:43"/>
  </r>
  <r>
    <n v="49"/>
    <x v="8"/>
    <x v="7"/>
    <x v="6"/>
    <n v="169"/>
    <n v="4.5"/>
    <n v="22.45"/>
    <x v="0"/>
    <x v="0"/>
    <x v="0"/>
    <d v="2026-04-09T16:23:58"/>
  </r>
  <r>
    <n v="50"/>
    <x v="9"/>
    <x v="8"/>
    <x v="1"/>
    <n v="479"/>
    <n v="4.5"/>
    <n v="20.96"/>
    <x v="0"/>
    <x v="14"/>
    <x v="0"/>
    <d v="2026-04-09T16:24:15"/>
  </r>
  <r>
    <n v="51"/>
    <x v="10"/>
    <x v="9"/>
    <x v="0"/>
    <n v="216"/>
    <n v="6.9"/>
    <n v="9.1300000000000008"/>
    <x v="0"/>
    <x v="1"/>
    <x v="0"/>
    <d v="2026-04-09T16:24:38"/>
  </r>
  <r>
    <n v="52"/>
    <x v="11"/>
    <x v="10"/>
    <x v="3"/>
    <n v="311"/>
    <n v="2.2999999999999998"/>
    <n v="12.91"/>
    <x v="0"/>
    <x v="12"/>
    <x v="0"/>
    <d v="2026-04-09T16:25:00"/>
  </r>
  <r>
    <n v="53"/>
    <x v="12"/>
    <x v="11"/>
    <x v="3"/>
    <n v="264"/>
    <n v="2.1"/>
    <n v="20.37"/>
    <x v="0"/>
    <x v="18"/>
    <x v="0"/>
    <d v="2026-04-09T16:25:06"/>
  </r>
  <r>
    <n v="54"/>
    <x v="13"/>
    <x v="12"/>
    <x v="2"/>
    <n v="317"/>
    <n v="3.9"/>
    <n v="8.2100000000000009"/>
    <x v="0"/>
    <x v="16"/>
    <x v="0"/>
    <d v="2026-04-09T16:25:13"/>
  </r>
  <r>
    <n v="55"/>
    <x v="14"/>
    <x v="13"/>
    <x v="0"/>
    <n v="341"/>
    <n v="5.3"/>
    <n v="10.119999999999999"/>
    <x v="0"/>
    <x v="4"/>
    <x v="0"/>
    <d v="2026-04-09T16:25:23"/>
  </r>
  <r>
    <n v="56"/>
    <x v="15"/>
    <x v="14"/>
    <x v="0"/>
    <n v="122"/>
    <n v="1.7"/>
    <n v="17.579999999999998"/>
    <x v="0"/>
    <x v="17"/>
    <x v="0"/>
    <d v="2026-04-09T16:25:36"/>
  </r>
  <r>
    <n v="57"/>
    <x v="16"/>
    <x v="15"/>
    <x v="0"/>
    <n v="437"/>
    <n v="5.3"/>
    <n v="20.14"/>
    <x v="0"/>
    <x v="18"/>
    <x v="0"/>
    <d v="2026-04-09T16:25:51"/>
  </r>
  <r>
    <n v="58"/>
    <x v="17"/>
    <x v="11"/>
    <x v="3"/>
    <n v="143"/>
    <n v="2.2000000000000002"/>
    <n v="11.01"/>
    <x v="1"/>
    <x v="7"/>
    <x v="0"/>
    <d v="2026-04-09T16:26:02"/>
  </r>
  <r>
    <n v="59"/>
    <x v="18"/>
    <x v="5"/>
    <x v="4"/>
    <n v="274"/>
    <n v="4.2"/>
    <n v="14.75"/>
    <x v="0"/>
    <x v="17"/>
    <x v="0"/>
    <d v="2026-04-09T16:26:12"/>
  </r>
  <r>
    <n v="60"/>
    <x v="19"/>
    <x v="11"/>
    <x v="3"/>
    <n v="252"/>
    <n v="4.2"/>
    <n v="21.85"/>
    <x v="0"/>
    <x v="17"/>
    <x v="0"/>
    <d v="2026-04-09T16:26:29"/>
  </r>
  <r>
    <n v="61"/>
    <x v="0"/>
    <x v="0"/>
    <x v="0"/>
    <n v="243"/>
    <n v="6.2"/>
    <n v="9.4700000000000006"/>
    <x v="0"/>
    <x v="7"/>
    <x v="1"/>
    <d v="2026-04-10T20:13:58"/>
  </r>
  <r>
    <n v="62"/>
    <x v="1"/>
    <x v="1"/>
    <x v="1"/>
    <n v="113"/>
    <n v="6.3"/>
    <n v="17.38"/>
    <x v="0"/>
    <x v="14"/>
    <x v="1"/>
    <d v="2026-04-10T20:14:13"/>
  </r>
  <r>
    <n v="63"/>
    <x v="2"/>
    <x v="1"/>
    <x v="1"/>
    <n v="185"/>
    <n v="4.5"/>
    <n v="8.02"/>
    <x v="0"/>
    <x v="7"/>
    <x v="1"/>
    <d v="2026-04-10T20:14:33"/>
  </r>
  <r>
    <n v="64"/>
    <x v="3"/>
    <x v="2"/>
    <x v="2"/>
    <n v="346"/>
    <n v="5.3"/>
    <n v="20.39"/>
    <x v="0"/>
    <x v="10"/>
    <x v="1"/>
    <d v="2026-04-10T20:14:41"/>
  </r>
  <r>
    <n v="65"/>
    <x v="4"/>
    <x v="3"/>
    <x v="0"/>
    <n v="166"/>
    <n v="3.4"/>
    <n v="14.3"/>
    <x v="1"/>
    <x v="16"/>
    <x v="1"/>
    <d v="2026-04-10T20:15:06"/>
  </r>
  <r>
    <n v="66"/>
    <x v="5"/>
    <x v="4"/>
    <x v="3"/>
    <n v="287"/>
    <n v="3.5"/>
    <n v="12.78"/>
    <x v="0"/>
    <x v="9"/>
    <x v="1"/>
    <d v="2026-04-10T20:15:22"/>
  </r>
  <r>
    <n v="67"/>
    <x v="6"/>
    <x v="5"/>
    <x v="4"/>
    <n v="188"/>
    <n v="3.9"/>
    <n v="23.85"/>
    <x v="0"/>
    <x v="17"/>
    <x v="1"/>
    <d v="2026-04-10T20:15:42"/>
  </r>
  <r>
    <n v="68"/>
    <x v="7"/>
    <x v="6"/>
    <x v="5"/>
    <n v="264"/>
    <n v="1.9"/>
    <n v="11.62"/>
    <x v="0"/>
    <x v="14"/>
    <x v="1"/>
    <d v="2026-04-10T20:16:07"/>
  </r>
  <r>
    <n v="69"/>
    <x v="8"/>
    <x v="7"/>
    <x v="6"/>
    <n v="492"/>
    <n v="5.6"/>
    <n v="16.77"/>
    <x v="0"/>
    <x v="16"/>
    <x v="1"/>
    <d v="2026-04-10T20:16:27"/>
  </r>
  <r>
    <n v="70"/>
    <x v="9"/>
    <x v="8"/>
    <x v="1"/>
    <n v="273"/>
    <n v="3.4"/>
    <n v="14.4"/>
    <x v="0"/>
    <x v="18"/>
    <x v="1"/>
    <d v="2026-04-10T20:16:51"/>
  </r>
  <r>
    <n v="71"/>
    <x v="10"/>
    <x v="9"/>
    <x v="0"/>
    <n v="215"/>
    <n v="3.7"/>
    <n v="10.68"/>
    <x v="0"/>
    <x v="4"/>
    <x v="1"/>
    <d v="2026-04-10T20:17:02"/>
  </r>
  <r>
    <n v="72"/>
    <x v="11"/>
    <x v="10"/>
    <x v="3"/>
    <n v="314"/>
    <n v="4.5"/>
    <n v="11.19"/>
    <x v="0"/>
    <x v="1"/>
    <x v="1"/>
    <d v="2026-04-10T20:17:09"/>
  </r>
  <r>
    <n v="73"/>
    <x v="12"/>
    <x v="11"/>
    <x v="3"/>
    <n v="413"/>
    <n v="3.2"/>
    <n v="7.23"/>
    <x v="0"/>
    <x v="9"/>
    <x v="1"/>
    <d v="2026-04-10T20:17:19"/>
  </r>
  <r>
    <n v="74"/>
    <x v="13"/>
    <x v="12"/>
    <x v="2"/>
    <n v="495"/>
    <n v="3.4"/>
    <n v="23.69"/>
    <x v="0"/>
    <x v="4"/>
    <x v="1"/>
    <d v="2026-04-10T20:17:24"/>
  </r>
  <r>
    <n v="75"/>
    <x v="14"/>
    <x v="13"/>
    <x v="0"/>
    <n v="428"/>
    <n v="7"/>
    <n v="21.73"/>
    <x v="0"/>
    <x v="1"/>
    <x v="1"/>
    <d v="2026-04-10T20:17:49"/>
  </r>
  <r>
    <n v="76"/>
    <x v="15"/>
    <x v="14"/>
    <x v="0"/>
    <n v="332"/>
    <n v="2"/>
    <n v="6.46"/>
    <x v="0"/>
    <x v="17"/>
    <x v="1"/>
    <d v="2026-04-10T20:18:01"/>
  </r>
  <r>
    <n v="77"/>
    <x v="16"/>
    <x v="15"/>
    <x v="0"/>
    <n v="420"/>
    <n v="5.9"/>
    <n v="20.420000000000002"/>
    <x v="0"/>
    <x v="5"/>
    <x v="1"/>
    <d v="2026-04-10T20:18:11"/>
  </r>
  <r>
    <n v="78"/>
    <x v="17"/>
    <x v="11"/>
    <x v="3"/>
    <n v="422"/>
    <n v="3.9"/>
    <n v="18.75"/>
    <x v="0"/>
    <x v="7"/>
    <x v="1"/>
    <d v="2026-04-10T20:18:28"/>
  </r>
  <r>
    <n v="79"/>
    <x v="18"/>
    <x v="5"/>
    <x v="4"/>
    <n v="242"/>
    <n v="4.3"/>
    <n v="16.48"/>
    <x v="0"/>
    <x v="9"/>
    <x v="1"/>
    <d v="2026-04-10T20:18:41"/>
  </r>
  <r>
    <n v="80"/>
    <x v="19"/>
    <x v="11"/>
    <x v="3"/>
    <n v="303"/>
    <n v="4.4000000000000004"/>
    <n v="20.9"/>
    <x v="0"/>
    <x v="7"/>
    <x v="1"/>
    <d v="2026-04-10T20:18:59"/>
  </r>
  <r>
    <n v="81"/>
    <x v="0"/>
    <x v="0"/>
    <x v="0"/>
    <n v="384"/>
    <n v="3"/>
    <n v="18.23"/>
    <x v="0"/>
    <x v="20"/>
    <x v="2"/>
    <d v="2026-04-12T11:11:21"/>
  </r>
  <r>
    <n v="82"/>
    <x v="1"/>
    <x v="1"/>
    <x v="1"/>
    <n v="187"/>
    <n v="2.9"/>
    <n v="17.23"/>
    <x v="0"/>
    <x v="20"/>
    <x v="2"/>
    <d v="2026-04-12T11:11:35"/>
  </r>
  <r>
    <n v="83"/>
    <x v="2"/>
    <x v="1"/>
    <x v="1"/>
    <n v="381"/>
    <n v="2.4"/>
    <n v="23.19"/>
    <x v="0"/>
    <x v="0"/>
    <x v="2"/>
    <d v="2026-04-12T11:11:54"/>
  </r>
  <r>
    <n v="84"/>
    <x v="3"/>
    <x v="2"/>
    <x v="2"/>
    <n v="355"/>
    <n v="3"/>
    <n v="17.02"/>
    <x v="1"/>
    <x v="12"/>
    <x v="2"/>
    <d v="2026-04-12T11:12:15"/>
  </r>
  <r>
    <n v="85"/>
    <x v="4"/>
    <x v="3"/>
    <x v="0"/>
    <n v="223"/>
    <n v="5.6"/>
    <n v="17.46"/>
    <x v="0"/>
    <x v="4"/>
    <x v="2"/>
    <d v="2026-04-12T11:12:27"/>
  </r>
  <r>
    <n v="86"/>
    <x v="5"/>
    <x v="4"/>
    <x v="3"/>
    <n v="146"/>
    <n v="2.1"/>
    <n v="14.01"/>
    <x v="0"/>
    <x v="7"/>
    <x v="2"/>
    <d v="2026-04-12T11:12:37"/>
  </r>
  <r>
    <n v="87"/>
    <x v="6"/>
    <x v="5"/>
    <x v="4"/>
    <n v="265"/>
    <n v="3.1"/>
    <n v="21.06"/>
    <x v="0"/>
    <x v="6"/>
    <x v="2"/>
    <d v="2026-04-12T11:12:44"/>
  </r>
  <r>
    <n v="88"/>
    <x v="7"/>
    <x v="6"/>
    <x v="5"/>
    <n v="224"/>
    <n v="6.1"/>
    <n v="24.76"/>
    <x v="0"/>
    <x v="11"/>
    <x v="2"/>
    <d v="2026-04-12T11:13:01"/>
  </r>
  <r>
    <n v="89"/>
    <x v="8"/>
    <x v="7"/>
    <x v="6"/>
    <n v="428"/>
    <n v="6.5"/>
    <n v="10.81"/>
    <x v="0"/>
    <x v="8"/>
    <x v="2"/>
    <d v="2026-04-12T11:13:08"/>
  </r>
  <r>
    <n v="90"/>
    <x v="9"/>
    <x v="8"/>
    <x v="1"/>
    <n v="472"/>
    <n v="4.7"/>
    <n v="19.16"/>
    <x v="0"/>
    <x v="1"/>
    <x v="2"/>
    <d v="2026-04-12T11:13:17"/>
  </r>
  <r>
    <n v="91"/>
    <x v="10"/>
    <x v="9"/>
    <x v="0"/>
    <n v="323"/>
    <n v="5.0999999999999996"/>
    <n v="15.06"/>
    <x v="0"/>
    <x v="10"/>
    <x v="2"/>
    <d v="2026-04-12T11:13:23"/>
  </r>
  <r>
    <n v="92"/>
    <x v="11"/>
    <x v="10"/>
    <x v="3"/>
    <n v="121"/>
    <n v="2.7"/>
    <n v="10.29"/>
    <x v="0"/>
    <x v="19"/>
    <x v="2"/>
    <d v="2026-04-12T11:13:41"/>
  </r>
  <r>
    <n v="93"/>
    <x v="12"/>
    <x v="11"/>
    <x v="3"/>
    <n v="391"/>
    <n v="2"/>
    <n v="20.98"/>
    <x v="0"/>
    <x v="15"/>
    <x v="2"/>
    <d v="2026-04-12T11:13:53"/>
  </r>
  <r>
    <n v="94"/>
    <x v="13"/>
    <x v="12"/>
    <x v="2"/>
    <n v="139"/>
    <n v="2.6"/>
    <n v="22.21"/>
    <x v="0"/>
    <x v="1"/>
    <x v="2"/>
    <d v="2026-04-12T11:14:02"/>
  </r>
  <r>
    <n v="95"/>
    <x v="14"/>
    <x v="13"/>
    <x v="0"/>
    <n v="225"/>
    <n v="6.2"/>
    <n v="21.87"/>
    <x v="0"/>
    <x v="18"/>
    <x v="2"/>
    <d v="2026-04-12T11:14:13"/>
  </r>
  <r>
    <n v="96"/>
    <x v="15"/>
    <x v="14"/>
    <x v="0"/>
    <n v="338"/>
    <n v="4.0999999999999996"/>
    <n v="12.86"/>
    <x v="0"/>
    <x v="8"/>
    <x v="2"/>
    <d v="2026-04-12T11:14:19"/>
  </r>
  <r>
    <n v="97"/>
    <x v="16"/>
    <x v="15"/>
    <x v="0"/>
    <n v="235"/>
    <n v="6.8"/>
    <n v="23.29"/>
    <x v="0"/>
    <x v="14"/>
    <x v="2"/>
    <d v="2026-04-12T11:14:38"/>
  </r>
  <r>
    <n v="98"/>
    <x v="17"/>
    <x v="11"/>
    <x v="3"/>
    <n v="162"/>
    <n v="4.4000000000000004"/>
    <n v="15.02"/>
    <x v="1"/>
    <x v="3"/>
    <x v="2"/>
    <d v="2026-04-12T11:14:57"/>
  </r>
  <r>
    <n v="99"/>
    <x v="18"/>
    <x v="5"/>
    <x v="4"/>
    <n v="139"/>
    <n v="3.3"/>
    <n v="21.64"/>
    <x v="0"/>
    <x v="14"/>
    <x v="2"/>
    <d v="2026-04-12T11:15:06"/>
  </r>
  <r>
    <n v="100"/>
    <x v="19"/>
    <x v="11"/>
    <x v="3"/>
    <n v="281"/>
    <n v="2.7"/>
    <n v="19.11"/>
    <x v="0"/>
    <x v="13"/>
    <x v="2"/>
    <d v="2026-04-12T11:15:23"/>
  </r>
  <r>
    <n v="101"/>
    <x v="0"/>
    <x v="0"/>
    <x v="0"/>
    <n v="481"/>
    <n v="5.8"/>
    <n v="18.809999999999999"/>
    <x v="0"/>
    <x v="14"/>
    <x v="2"/>
    <d v="2026-04-12T11:16:47"/>
  </r>
  <r>
    <n v="102"/>
    <x v="1"/>
    <x v="1"/>
    <x v="1"/>
    <n v="425"/>
    <n v="6.8"/>
    <n v="18.899999999999999"/>
    <x v="0"/>
    <x v="6"/>
    <x v="2"/>
    <d v="2026-04-12T11:17:01"/>
  </r>
  <r>
    <n v="103"/>
    <x v="2"/>
    <x v="1"/>
    <x v="1"/>
    <n v="486"/>
    <n v="1.7"/>
    <n v="17.32"/>
    <x v="0"/>
    <x v="20"/>
    <x v="2"/>
    <d v="2026-04-12T11:17:26"/>
  </r>
  <r>
    <n v="104"/>
    <x v="3"/>
    <x v="2"/>
    <x v="2"/>
    <n v="220"/>
    <n v="1.8"/>
    <n v="22.73"/>
    <x v="0"/>
    <x v="13"/>
    <x v="2"/>
    <d v="2026-04-12T11:17:41"/>
  </r>
  <r>
    <n v="105"/>
    <x v="4"/>
    <x v="3"/>
    <x v="0"/>
    <n v="342"/>
    <n v="4.8"/>
    <n v="8.5399999999999991"/>
    <x v="0"/>
    <x v="0"/>
    <x v="2"/>
    <d v="2026-04-12T11:18:00"/>
  </r>
  <r>
    <n v="106"/>
    <x v="5"/>
    <x v="4"/>
    <x v="3"/>
    <n v="200"/>
    <n v="3.6"/>
    <n v="24.71"/>
    <x v="0"/>
    <x v="15"/>
    <x v="2"/>
    <d v="2026-04-12T11:18:09"/>
  </r>
  <r>
    <n v="107"/>
    <x v="6"/>
    <x v="5"/>
    <x v="4"/>
    <n v="404"/>
    <n v="3.9"/>
    <n v="24.03"/>
    <x v="0"/>
    <x v="8"/>
    <x v="2"/>
    <d v="2026-04-12T11:18:32"/>
  </r>
  <r>
    <n v="108"/>
    <x v="7"/>
    <x v="6"/>
    <x v="5"/>
    <n v="360"/>
    <n v="5.6"/>
    <n v="13.68"/>
    <x v="0"/>
    <x v="10"/>
    <x v="2"/>
    <d v="2026-04-12T11:18:46"/>
  </r>
  <r>
    <n v="109"/>
    <x v="8"/>
    <x v="7"/>
    <x v="6"/>
    <n v="306"/>
    <n v="3.4"/>
    <n v="20.39"/>
    <x v="0"/>
    <x v="7"/>
    <x v="2"/>
    <d v="2026-04-12T11:19:05"/>
  </r>
  <r>
    <n v="110"/>
    <x v="9"/>
    <x v="8"/>
    <x v="1"/>
    <n v="154"/>
    <n v="3"/>
    <n v="6.73"/>
    <x v="0"/>
    <x v="17"/>
    <x v="2"/>
    <d v="2026-04-12T11:19:27"/>
  </r>
  <r>
    <n v="111"/>
    <x v="10"/>
    <x v="9"/>
    <x v="0"/>
    <n v="223"/>
    <n v="1.7"/>
    <n v="16.96"/>
    <x v="0"/>
    <x v="8"/>
    <x v="2"/>
    <d v="2026-04-12T11:19:52"/>
  </r>
  <r>
    <n v="112"/>
    <x v="11"/>
    <x v="10"/>
    <x v="3"/>
    <n v="412"/>
    <n v="6.2"/>
    <n v="9.8800000000000008"/>
    <x v="0"/>
    <x v="1"/>
    <x v="2"/>
    <d v="2026-04-12T11:20:17"/>
  </r>
  <r>
    <n v="113"/>
    <x v="12"/>
    <x v="11"/>
    <x v="3"/>
    <n v="474"/>
    <n v="2.5"/>
    <n v="20.9"/>
    <x v="0"/>
    <x v="8"/>
    <x v="2"/>
    <d v="2026-04-12T11:20:26"/>
  </r>
  <r>
    <n v="114"/>
    <x v="13"/>
    <x v="12"/>
    <x v="2"/>
    <n v="411"/>
    <n v="2.2999999999999998"/>
    <n v="13.44"/>
    <x v="0"/>
    <x v="9"/>
    <x v="2"/>
    <d v="2026-04-12T11:20:37"/>
  </r>
  <r>
    <n v="115"/>
    <x v="14"/>
    <x v="13"/>
    <x v="0"/>
    <n v="302"/>
    <n v="6"/>
    <n v="13.24"/>
    <x v="0"/>
    <x v="12"/>
    <x v="2"/>
    <d v="2026-04-12T11:21:01"/>
  </r>
  <r>
    <n v="116"/>
    <x v="15"/>
    <x v="14"/>
    <x v="0"/>
    <n v="218"/>
    <n v="3.5"/>
    <n v="21.17"/>
    <x v="0"/>
    <x v="1"/>
    <x v="2"/>
    <d v="2026-04-12T11:21:17"/>
  </r>
  <r>
    <n v="117"/>
    <x v="16"/>
    <x v="15"/>
    <x v="0"/>
    <n v="104"/>
    <n v="6"/>
    <n v="5.12"/>
    <x v="0"/>
    <x v="2"/>
    <x v="2"/>
    <d v="2026-04-12T11:21:22"/>
  </r>
  <r>
    <n v="118"/>
    <x v="17"/>
    <x v="11"/>
    <x v="3"/>
    <n v="198"/>
    <n v="1.9"/>
    <n v="8.2899999999999991"/>
    <x v="0"/>
    <x v="10"/>
    <x v="2"/>
    <d v="2026-04-12T11:21:29"/>
  </r>
  <r>
    <n v="119"/>
    <x v="18"/>
    <x v="5"/>
    <x v="4"/>
    <n v="204"/>
    <n v="2.8"/>
    <n v="14.3"/>
    <x v="0"/>
    <x v="0"/>
    <x v="2"/>
    <d v="2026-04-12T11:21:46"/>
  </r>
  <r>
    <n v="120"/>
    <x v="19"/>
    <x v="11"/>
    <x v="3"/>
    <n v="345"/>
    <n v="4.7"/>
    <n v="20.399999999999999"/>
    <x v="0"/>
    <x v="20"/>
    <x v="2"/>
    <d v="2026-04-12T11:22:04"/>
  </r>
  <r>
    <n v="121"/>
    <x v="0"/>
    <x v="0"/>
    <x v="0"/>
    <n v="322"/>
    <n v="5.5"/>
    <n v="18.39"/>
    <x v="0"/>
    <x v="19"/>
    <x v="2"/>
    <d v="2026-04-12T11:41:34"/>
  </r>
  <r>
    <n v="122"/>
    <x v="1"/>
    <x v="1"/>
    <x v="1"/>
    <n v="333"/>
    <n v="3.9"/>
    <n v="8.26"/>
    <x v="1"/>
    <x v="11"/>
    <x v="2"/>
    <d v="2026-04-12T11:41:59"/>
  </r>
  <r>
    <n v="123"/>
    <x v="2"/>
    <x v="1"/>
    <x v="1"/>
    <n v="290"/>
    <n v="5.3"/>
    <n v="19.809999999999999"/>
    <x v="0"/>
    <x v="10"/>
    <x v="2"/>
    <d v="2026-04-12T11:42:16"/>
  </r>
  <r>
    <n v="124"/>
    <x v="3"/>
    <x v="2"/>
    <x v="2"/>
    <n v="196"/>
    <n v="5.8"/>
    <n v="21.37"/>
    <x v="0"/>
    <x v="18"/>
    <x v="2"/>
    <d v="2026-04-12T11:42:27"/>
  </r>
  <r>
    <n v="125"/>
    <x v="4"/>
    <x v="3"/>
    <x v="0"/>
    <n v="305"/>
    <n v="4.4000000000000004"/>
    <n v="9.0399999999999991"/>
    <x v="0"/>
    <x v="12"/>
    <x v="2"/>
    <d v="2026-04-12T11:42:52"/>
  </r>
  <r>
    <n v="126"/>
    <x v="5"/>
    <x v="4"/>
    <x v="3"/>
    <n v="241"/>
    <n v="1.7"/>
    <n v="19.48"/>
    <x v="0"/>
    <x v="19"/>
    <x v="2"/>
    <d v="2026-04-12T11:43:09"/>
  </r>
  <r>
    <n v="127"/>
    <x v="6"/>
    <x v="5"/>
    <x v="4"/>
    <n v="157"/>
    <n v="6.2"/>
    <n v="7.34"/>
    <x v="0"/>
    <x v="6"/>
    <x v="2"/>
    <d v="2026-04-12T11:43:22"/>
  </r>
  <r>
    <n v="128"/>
    <x v="7"/>
    <x v="6"/>
    <x v="5"/>
    <n v="293"/>
    <n v="3"/>
    <n v="17.850000000000001"/>
    <x v="0"/>
    <x v="7"/>
    <x v="2"/>
    <d v="2026-04-12T11:43:35"/>
  </r>
  <r>
    <n v="129"/>
    <x v="8"/>
    <x v="7"/>
    <x v="6"/>
    <n v="202"/>
    <n v="3.9"/>
    <n v="12.87"/>
    <x v="0"/>
    <x v="1"/>
    <x v="2"/>
    <d v="2026-04-12T11:43:47"/>
  </r>
  <r>
    <n v="130"/>
    <x v="9"/>
    <x v="8"/>
    <x v="1"/>
    <n v="216"/>
    <n v="5.6"/>
    <n v="7.97"/>
    <x v="0"/>
    <x v="11"/>
    <x v="2"/>
    <d v="2026-04-12T11:44:06"/>
  </r>
  <r>
    <n v="131"/>
    <x v="10"/>
    <x v="9"/>
    <x v="0"/>
    <n v="244"/>
    <n v="2.9"/>
    <n v="24.39"/>
    <x v="0"/>
    <x v="2"/>
    <x v="2"/>
    <d v="2026-04-12T11:44:13"/>
  </r>
  <r>
    <n v="132"/>
    <x v="11"/>
    <x v="10"/>
    <x v="3"/>
    <n v="353"/>
    <n v="4.4000000000000004"/>
    <n v="10.82"/>
    <x v="0"/>
    <x v="14"/>
    <x v="2"/>
    <d v="2026-04-12T11:44:35"/>
  </r>
  <r>
    <n v="133"/>
    <x v="12"/>
    <x v="11"/>
    <x v="3"/>
    <n v="302"/>
    <n v="5.0999999999999996"/>
    <n v="10.88"/>
    <x v="0"/>
    <x v="2"/>
    <x v="2"/>
    <d v="2026-04-12T11:44:54"/>
  </r>
  <r>
    <n v="134"/>
    <x v="13"/>
    <x v="12"/>
    <x v="2"/>
    <n v="315"/>
    <n v="2.4"/>
    <n v="13.41"/>
    <x v="0"/>
    <x v="13"/>
    <x v="2"/>
    <d v="2026-04-12T11:45:15"/>
  </r>
  <r>
    <n v="135"/>
    <x v="14"/>
    <x v="13"/>
    <x v="0"/>
    <n v="435"/>
    <n v="5.4"/>
    <n v="9.52"/>
    <x v="0"/>
    <x v="14"/>
    <x v="2"/>
    <d v="2026-04-12T11:45:33"/>
  </r>
  <r>
    <n v="136"/>
    <x v="15"/>
    <x v="14"/>
    <x v="0"/>
    <n v="323"/>
    <n v="5.9"/>
    <n v="19.670000000000002"/>
    <x v="0"/>
    <x v="16"/>
    <x v="2"/>
    <d v="2026-04-12T11:45:54"/>
  </r>
  <r>
    <n v="137"/>
    <x v="16"/>
    <x v="15"/>
    <x v="0"/>
    <n v="103"/>
    <n v="6.7"/>
    <n v="24.01"/>
    <x v="0"/>
    <x v="20"/>
    <x v="2"/>
    <d v="2026-04-12T11:46:11"/>
  </r>
  <r>
    <n v="138"/>
    <x v="17"/>
    <x v="11"/>
    <x v="3"/>
    <n v="410"/>
    <n v="1.8"/>
    <n v="17.850000000000001"/>
    <x v="0"/>
    <x v="4"/>
    <x v="2"/>
    <d v="2026-04-12T11:46:30"/>
  </r>
  <r>
    <n v="139"/>
    <x v="18"/>
    <x v="5"/>
    <x v="4"/>
    <n v="443"/>
    <n v="5"/>
    <n v="19.93"/>
    <x v="0"/>
    <x v="11"/>
    <x v="2"/>
    <d v="2026-04-12T11:46:54"/>
  </r>
  <r>
    <n v="140"/>
    <x v="19"/>
    <x v="11"/>
    <x v="3"/>
    <n v="115"/>
    <n v="4.5"/>
    <n v="21.84"/>
    <x v="0"/>
    <x v="1"/>
    <x v="2"/>
    <d v="2026-04-12T11:47:18"/>
  </r>
  <r>
    <n v="141"/>
    <x v="0"/>
    <x v="0"/>
    <x v="0"/>
    <n v="262"/>
    <n v="3"/>
    <n v="14.25"/>
    <x v="1"/>
    <x v="9"/>
    <x v="3"/>
    <d v="2026-04-13T13:39:44"/>
  </r>
  <r>
    <n v="142"/>
    <x v="1"/>
    <x v="1"/>
    <x v="1"/>
    <n v="222"/>
    <n v="4.4000000000000004"/>
    <n v="8.0399999999999991"/>
    <x v="0"/>
    <x v="20"/>
    <x v="3"/>
    <d v="2026-04-13T13:40:01"/>
  </r>
  <r>
    <n v="143"/>
    <x v="2"/>
    <x v="1"/>
    <x v="1"/>
    <n v="429"/>
    <n v="7"/>
    <n v="11.65"/>
    <x v="0"/>
    <x v="11"/>
    <x v="3"/>
    <d v="2026-04-13T13:40:26"/>
  </r>
  <r>
    <n v="144"/>
    <x v="3"/>
    <x v="2"/>
    <x v="2"/>
    <n v="129"/>
    <n v="6.9"/>
    <n v="7.17"/>
    <x v="0"/>
    <x v="20"/>
    <x v="3"/>
    <d v="2026-04-13T13:40:48"/>
  </r>
  <r>
    <n v="145"/>
    <x v="4"/>
    <x v="3"/>
    <x v="0"/>
    <n v="217"/>
    <n v="3.2"/>
    <n v="12.33"/>
    <x v="0"/>
    <x v="20"/>
    <x v="3"/>
    <d v="2026-04-13T13:41:05"/>
  </r>
  <r>
    <n v="146"/>
    <x v="5"/>
    <x v="4"/>
    <x v="3"/>
    <n v="330"/>
    <n v="1.5"/>
    <n v="18.38"/>
    <x v="0"/>
    <x v="14"/>
    <x v="3"/>
    <d v="2026-04-13T13:41:16"/>
  </r>
  <r>
    <n v="147"/>
    <x v="6"/>
    <x v="5"/>
    <x v="4"/>
    <n v="311"/>
    <n v="4.3"/>
    <n v="24.67"/>
    <x v="0"/>
    <x v="10"/>
    <x v="3"/>
    <d v="2026-04-13T13:41:32"/>
  </r>
  <r>
    <n v="148"/>
    <x v="7"/>
    <x v="6"/>
    <x v="5"/>
    <n v="154"/>
    <n v="6.7"/>
    <n v="22.23"/>
    <x v="0"/>
    <x v="0"/>
    <x v="3"/>
    <d v="2026-04-13T13:41:53"/>
  </r>
  <r>
    <n v="149"/>
    <x v="8"/>
    <x v="7"/>
    <x v="6"/>
    <n v="132"/>
    <n v="2.2000000000000002"/>
    <n v="13.01"/>
    <x v="0"/>
    <x v="9"/>
    <x v="3"/>
    <d v="2026-04-13T13:42:17"/>
  </r>
  <r>
    <n v="150"/>
    <x v="9"/>
    <x v="8"/>
    <x v="1"/>
    <n v="379"/>
    <n v="3.2"/>
    <n v="15.54"/>
    <x v="0"/>
    <x v="18"/>
    <x v="3"/>
    <d v="2026-04-13T13:42:37"/>
  </r>
  <r>
    <n v="151"/>
    <x v="10"/>
    <x v="9"/>
    <x v="0"/>
    <n v="388"/>
    <n v="4.5999999999999996"/>
    <n v="10.74"/>
    <x v="0"/>
    <x v="7"/>
    <x v="3"/>
    <d v="2026-04-13T13:42:58"/>
  </r>
  <r>
    <n v="152"/>
    <x v="11"/>
    <x v="10"/>
    <x v="3"/>
    <n v="183"/>
    <n v="1.6"/>
    <n v="14.82"/>
    <x v="0"/>
    <x v="10"/>
    <x v="3"/>
    <d v="2026-04-13T13:43:15"/>
  </r>
  <r>
    <n v="153"/>
    <x v="12"/>
    <x v="11"/>
    <x v="3"/>
    <n v="436"/>
    <n v="5.0999999999999996"/>
    <n v="18.93"/>
    <x v="0"/>
    <x v="20"/>
    <x v="3"/>
    <d v="2026-04-13T13:43:36"/>
  </r>
  <r>
    <n v="154"/>
    <x v="13"/>
    <x v="12"/>
    <x v="2"/>
    <n v="135"/>
    <n v="2.1"/>
    <n v="18.12"/>
    <x v="0"/>
    <x v="7"/>
    <x v="3"/>
    <d v="2026-04-13T13:43:50"/>
  </r>
  <r>
    <n v="155"/>
    <x v="14"/>
    <x v="13"/>
    <x v="0"/>
    <n v="430"/>
    <n v="2.2999999999999998"/>
    <n v="8.0399999999999991"/>
    <x v="0"/>
    <x v="20"/>
    <x v="3"/>
    <d v="2026-04-13T13:44:06"/>
  </r>
  <r>
    <n v="156"/>
    <x v="15"/>
    <x v="14"/>
    <x v="0"/>
    <n v="213"/>
    <n v="2.2999999999999998"/>
    <n v="22.73"/>
    <x v="0"/>
    <x v="19"/>
    <x v="3"/>
    <d v="2026-04-13T13:44:22"/>
  </r>
  <r>
    <n v="157"/>
    <x v="16"/>
    <x v="15"/>
    <x v="0"/>
    <n v="119"/>
    <n v="6.9"/>
    <n v="20.47"/>
    <x v="0"/>
    <x v="18"/>
    <x v="3"/>
    <d v="2026-04-13T13:44:27"/>
  </r>
  <r>
    <n v="158"/>
    <x v="17"/>
    <x v="11"/>
    <x v="3"/>
    <n v="467"/>
    <n v="2.6"/>
    <n v="10.76"/>
    <x v="0"/>
    <x v="19"/>
    <x v="3"/>
    <d v="2026-04-13T13:44:52"/>
  </r>
  <r>
    <n v="159"/>
    <x v="18"/>
    <x v="5"/>
    <x v="4"/>
    <n v="167"/>
    <n v="1.8"/>
    <n v="9.31"/>
    <x v="0"/>
    <x v="17"/>
    <x v="3"/>
    <d v="2026-04-13T13:45:13"/>
  </r>
  <r>
    <n v="160"/>
    <x v="19"/>
    <x v="11"/>
    <x v="3"/>
    <n v="463"/>
    <n v="6.4"/>
    <n v="12.66"/>
    <x v="0"/>
    <x v="17"/>
    <x v="3"/>
    <d v="2026-04-13T13:45:18"/>
  </r>
  <r>
    <n v="161"/>
    <x v="0"/>
    <x v="0"/>
    <x v="0"/>
    <n v="247"/>
    <n v="1.7"/>
    <n v="21.58"/>
    <x v="0"/>
    <x v="17"/>
    <x v="3"/>
    <d v="2026-04-13T13:57:04"/>
  </r>
  <r>
    <n v="162"/>
    <x v="1"/>
    <x v="1"/>
    <x v="1"/>
    <n v="172"/>
    <n v="5.3"/>
    <n v="20.57"/>
    <x v="0"/>
    <x v="14"/>
    <x v="3"/>
    <d v="2026-04-13T13:57:28"/>
  </r>
  <r>
    <n v="163"/>
    <x v="2"/>
    <x v="1"/>
    <x v="1"/>
    <n v="447"/>
    <n v="5.9"/>
    <n v="15.28"/>
    <x v="0"/>
    <x v="14"/>
    <x v="3"/>
    <d v="2026-04-13T13:57:51"/>
  </r>
  <r>
    <n v="164"/>
    <x v="3"/>
    <x v="2"/>
    <x v="2"/>
    <n v="325"/>
    <n v="3.1"/>
    <n v="16.07"/>
    <x v="0"/>
    <x v="17"/>
    <x v="3"/>
    <d v="2026-04-13T13:58:01"/>
  </r>
  <r>
    <n v="165"/>
    <x v="4"/>
    <x v="3"/>
    <x v="0"/>
    <n v="324"/>
    <n v="2.1"/>
    <n v="21.41"/>
    <x v="0"/>
    <x v="6"/>
    <x v="3"/>
    <d v="2026-04-13T13:58:18"/>
  </r>
  <r>
    <n v="166"/>
    <x v="5"/>
    <x v="4"/>
    <x v="3"/>
    <n v="462"/>
    <n v="5.3"/>
    <n v="9.36"/>
    <x v="0"/>
    <x v="19"/>
    <x v="3"/>
    <d v="2026-04-13T13:58:36"/>
  </r>
  <r>
    <n v="167"/>
    <x v="6"/>
    <x v="5"/>
    <x v="4"/>
    <n v="403"/>
    <n v="4.9000000000000004"/>
    <n v="16.670000000000002"/>
    <x v="0"/>
    <x v="11"/>
    <x v="3"/>
    <d v="2026-04-13T13:59:01"/>
  </r>
  <r>
    <n v="168"/>
    <x v="7"/>
    <x v="6"/>
    <x v="5"/>
    <n v="469"/>
    <n v="5.5"/>
    <n v="9.44"/>
    <x v="0"/>
    <x v="8"/>
    <x v="3"/>
    <d v="2026-04-13T13:59:13"/>
  </r>
  <r>
    <n v="169"/>
    <x v="8"/>
    <x v="7"/>
    <x v="6"/>
    <n v="247"/>
    <n v="5.7"/>
    <n v="14.73"/>
    <x v="0"/>
    <x v="2"/>
    <x v="3"/>
    <d v="2026-04-13T13:59:34"/>
  </r>
  <r>
    <n v="170"/>
    <x v="9"/>
    <x v="8"/>
    <x v="1"/>
    <n v="273"/>
    <n v="3.9"/>
    <n v="11.71"/>
    <x v="0"/>
    <x v="7"/>
    <x v="3"/>
    <d v="2026-04-13T13:59:59"/>
  </r>
  <r>
    <n v="171"/>
    <x v="10"/>
    <x v="9"/>
    <x v="0"/>
    <n v="264"/>
    <n v="2.2000000000000002"/>
    <n v="19.010000000000002"/>
    <x v="0"/>
    <x v="8"/>
    <x v="3"/>
    <d v="2026-04-13T14:00:20"/>
  </r>
  <r>
    <n v="172"/>
    <x v="11"/>
    <x v="10"/>
    <x v="3"/>
    <n v="340"/>
    <n v="3"/>
    <n v="19.45"/>
    <x v="0"/>
    <x v="19"/>
    <x v="3"/>
    <d v="2026-04-13T14:00:45"/>
  </r>
  <r>
    <n v="173"/>
    <x v="12"/>
    <x v="11"/>
    <x v="3"/>
    <n v="341"/>
    <n v="5.7"/>
    <n v="22.51"/>
    <x v="0"/>
    <x v="8"/>
    <x v="3"/>
    <d v="2026-04-13T14:00:55"/>
  </r>
  <r>
    <n v="174"/>
    <x v="13"/>
    <x v="12"/>
    <x v="2"/>
    <n v="414"/>
    <n v="2.2000000000000002"/>
    <n v="13.79"/>
    <x v="0"/>
    <x v="3"/>
    <x v="3"/>
    <d v="2026-04-13T14:01:18"/>
  </r>
  <r>
    <n v="175"/>
    <x v="14"/>
    <x v="13"/>
    <x v="0"/>
    <n v="155"/>
    <n v="6.4"/>
    <n v="5.93"/>
    <x v="0"/>
    <x v="19"/>
    <x v="3"/>
    <d v="2026-04-13T14:01:43"/>
  </r>
  <r>
    <n v="176"/>
    <x v="15"/>
    <x v="14"/>
    <x v="0"/>
    <n v="444"/>
    <n v="2.2000000000000002"/>
    <n v="7.22"/>
    <x v="0"/>
    <x v="1"/>
    <x v="3"/>
    <d v="2026-04-13T14:01:55"/>
  </r>
  <r>
    <n v="177"/>
    <x v="16"/>
    <x v="15"/>
    <x v="0"/>
    <n v="459"/>
    <n v="6.8"/>
    <n v="19.399999999999999"/>
    <x v="0"/>
    <x v="3"/>
    <x v="3"/>
    <d v="2026-04-13T14:02:04"/>
  </r>
  <r>
    <n v="178"/>
    <x v="17"/>
    <x v="11"/>
    <x v="3"/>
    <n v="428"/>
    <n v="1.7"/>
    <n v="5.9"/>
    <x v="0"/>
    <x v="16"/>
    <x v="3"/>
    <d v="2026-04-13T14:02:13"/>
  </r>
  <r>
    <n v="179"/>
    <x v="18"/>
    <x v="5"/>
    <x v="4"/>
    <n v="387"/>
    <n v="5"/>
    <n v="23.25"/>
    <x v="1"/>
    <x v="0"/>
    <x v="3"/>
    <d v="2026-04-13T14:02:18"/>
  </r>
  <r>
    <n v="180"/>
    <x v="19"/>
    <x v="11"/>
    <x v="3"/>
    <n v="484"/>
    <n v="5.4"/>
    <n v="5.71"/>
    <x v="0"/>
    <x v="5"/>
    <x v="3"/>
    <d v="2026-04-13T14:02:42"/>
  </r>
  <r>
    <n v="181"/>
    <x v="0"/>
    <x v="0"/>
    <x v="0"/>
    <n v="343"/>
    <n v="5.9"/>
    <n v="10.96"/>
    <x v="0"/>
    <x v="4"/>
    <x v="3"/>
    <d v="2026-04-13T14:18:08"/>
  </r>
  <r>
    <n v="182"/>
    <x v="1"/>
    <x v="1"/>
    <x v="1"/>
    <n v="251"/>
    <n v="4"/>
    <n v="18.309999999999999"/>
    <x v="0"/>
    <x v="6"/>
    <x v="3"/>
    <d v="2026-04-13T14:18:19"/>
  </r>
  <r>
    <n v="183"/>
    <x v="2"/>
    <x v="1"/>
    <x v="1"/>
    <n v="338"/>
    <n v="2.9"/>
    <n v="8.52"/>
    <x v="0"/>
    <x v="14"/>
    <x v="3"/>
    <d v="2026-04-13T14:18:25"/>
  </r>
  <r>
    <n v="184"/>
    <x v="3"/>
    <x v="2"/>
    <x v="2"/>
    <n v="271"/>
    <n v="5.7"/>
    <n v="9.69"/>
    <x v="0"/>
    <x v="1"/>
    <x v="3"/>
    <d v="2026-04-13T14:18:36"/>
  </r>
  <r>
    <n v="185"/>
    <x v="4"/>
    <x v="3"/>
    <x v="0"/>
    <n v="448"/>
    <n v="3.2"/>
    <n v="8.66"/>
    <x v="0"/>
    <x v="11"/>
    <x v="3"/>
    <d v="2026-04-13T14:19:00"/>
  </r>
  <r>
    <n v="186"/>
    <x v="5"/>
    <x v="4"/>
    <x v="3"/>
    <n v="164"/>
    <n v="6.6"/>
    <n v="15.53"/>
    <x v="0"/>
    <x v="11"/>
    <x v="3"/>
    <d v="2026-04-13T14:19:14"/>
  </r>
  <r>
    <n v="187"/>
    <x v="6"/>
    <x v="5"/>
    <x v="4"/>
    <n v="252"/>
    <n v="1.9"/>
    <n v="5.46"/>
    <x v="0"/>
    <x v="17"/>
    <x v="3"/>
    <d v="2026-04-13T14:19:35"/>
  </r>
  <r>
    <n v="188"/>
    <x v="7"/>
    <x v="6"/>
    <x v="5"/>
    <n v="227"/>
    <n v="5.7"/>
    <n v="16.079999999999998"/>
    <x v="0"/>
    <x v="5"/>
    <x v="3"/>
    <d v="2026-04-13T14:19:44"/>
  </r>
  <r>
    <n v="189"/>
    <x v="8"/>
    <x v="7"/>
    <x v="6"/>
    <n v="189"/>
    <n v="3.1"/>
    <n v="13.18"/>
    <x v="0"/>
    <x v="15"/>
    <x v="3"/>
    <d v="2026-04-13T14:20:08"/>
  </r>
  <r>
    <n v="190"/>
    <x v="9"/>
    <x v="8"/>
    <x v="1"/>
    <n v="112"/>
    <n v="3.3"/>
    <n v="24.73"/>
    <x v="0"/>
    <x v="9"/>
    <x v="3"/>
    <d v="2026-04-13T14:20:26"/>
  </r>
  <r>
    <n v="191"/>
    <x v="10"/>
    <x v="9"/>
    <x v="0"/>
    <n v="495"/>
    <n v="4.3"/>
    <n v="19.71"/>
    <x v="0"/>
    <x v="15"/>
    <x v="3"/>
    <d v="2026-04-13T14:20:35"/>
  </r>
  <r>
    <n v="192"/>
    <x v="11"/>
    <x v="10"/>
    <x v="3"/>
    <n v="471"/>
    <n v="4.5999999999999996"/>
    <n v="24.86"/>
    <x v="0"/>
    <x v="12"/>
    <x v="3"/>
    <d v="2026-04-13T14:20:50"/>
  </r>
  <r>
    <n v="193"/>
    <x v="12"/>
    <x v="11"/>
    <x v="3"/>
    <n v="349"/>
    <n v="3.7"/>
    <n v="10.3"/>
    <x v="0"/>
    <x v="3"/>
    <x v="3"/>
    <d v="2026-04-13T14:21:13"/>
  </r>
  <r>
    <n v="194"/>
    <x v="13"/>
    <x v="12"/>
    <x v="2"/>
    <n v="367"/>
    <n v="2.5"/>
    <n v="21.67"/>
    <x v="0"/>
    <x v="13"/>
    <x v="3"/>
    <d v="2026-04-13T14:21:33"/>
  </r>
  <r>
    <n v="195"/>
    <x v="14"/>
    <x v="13"/>
    <x v="0"/>
    <n v="261"/>
    <n v="3.8"/>
    <n v="20.2"/>
    <x v="0"/>
    <x v="5"/>
    <x v="3"/>
    <d v="2026-04-13T14:21:58"/>
  </r>
  <r>
    <n v="196"/>
    <x v="15"/>
    <x v="14"/>
    <x v="0"/>
    <n v="356"/>
    <n v="4"/>
    <n v="7.4"/>
    <x v="0"/>
    <x v="15"/>
    <x v="3"/>
    <d v="2026-04-13T14:22:06"/>
  </r>
  <r>
    <n v="197"/>
    <x v="16"/>
    <x v="15"/>
    <x v="0"/>
    <n v="476"/>
    <n v="5.6"/>
    <n v="17.41"/>
    <x v="0"/>
    <x v="16"/>
    <x v="3"/>
    <d v="2026-04-13T14:22:12"/>
  </r>
  <r>
    <n v="198"/>
    <x v="17"/>
    <x v="11"/>
    <x v="3"/>
    <n v="169"/>
    <n v="3.8"/>
    <n v="12.71"/>
    <x v="0"/>
    <x v="7"/>
    <x v="3"/>
    <d v="2026-04-13T14:22:36"/>
  </r>
  <r>
    <n v="199"/>
    <x v="18"/>
    <x v="5"/>
    <x v="4"/>
    <n v="397"/>
    <n v="6.2"/>
    <n v="19.05"/>
    <x v="0"/>
    <x v="1"/>
    <x v="3"/>
    <d v="2026-04-13T14:22:46"/>
  </r>
  <r>
    <n v="200"/>
    <x v="19"/>
    <x v="11"/>
    <x v="3"/>
    <n v="151"/>
    <n v="6"/>
    <n v="14.87"/>
    <x v="0"/>
    <x v="11"/>
    <x v="3"/>
    <d v="2026-04-13T14:23:11"/>
  </r>
  <r>
    <n v="201"/>
    <x v="0"/>
    <x v="0"/>
    <x v="0"/>
    <n v="151"/>
    <n v="5.4"/>
    <n v="17.84"/>
    <x v="0"/>
    <x v="4"/>
    <x v="4"/>
    <d v="2026-04-16T15:59:28"/>
  </r>
  <r>
    <n v="202"/>
    <x v="1"/>
    <x v="1"/>
    <x v="1"/>
    <n v="218"/>
    <n v="4.4000000000000004"/>
    <n v="8.35"/>
    <x v="0"/>
    <x v="19"/>
    <x v="4"/>
    <d v="2026-04-16T15:59:48"/>
  </r>
  <r>
    <n v="203"/>
    <x v="2"/>
    <x v="1"/>
    <x v="1"/>
    <n v="227"/>
    <n v="5"/>
    <n v="5.82"/>
    <x v="0"/>
    <x v="0"/>
    <x v="4"/>
    <d v="2026-04-16T15:59:58"/>
  </r>
  <r>
    <n v="204"/>
    <x v="3"/>
    <x v="2"/>
    <x v="2"/>
    <n v="410"/>
    <n v="3.3"/>
    <n v="19.899999999999999"/>
    <x v="0"/>
    <x v="6"/>
    <x v="4"/>
    <d v="2026-04-16T16:00:04"/>
  </r>
  <r>
    <n v="205"/>
    <x v="4"/>
    <x v="3"/>
    <x v="0"/>
    <n v="293"/>
    <n v="6.5"/>
    <n v="14.83"/>
    <x v="1"/>
    <x v="18"/>
    <x v="4"/>
    <d v="2026-04-16T16:00:16"/>
  </r>
  <r>
    <n v="206"/>
    <x v="5"/>
    <x v="4"/>
    <x v="3"/>
    <n v="469"/>
    <n v="6.4"/>
    <n v="17.53"/>
    <x v="0"/>
    <x v="14"/>
    <x v="4"/>
    <d v="2026-04-16T16:00:25"/>
  </r>
  <r>
    <n v="207"/>
    <x v="6"/>
    <x v="5"/>
    <x v="4"/>
    <n v="279"/>
    <n v="4.9000000000000004"/>
    <n v="21.55"/>
    <x v="0"/>
    <x v="15"/>
    <x v="4"/>
    <d v="2026-04-16T16:00:46"/>
  </r>
  <r>
    <n v="208"/>
    <x v="7"/>
    <x v="6"/>
    <x v="5"/>
    <n v="179"/>
    <n v="2.4"/>
    <n v="24.16"/>
    <x v="0"/>
    <x v="20"/>
    <x v="4"/>
    <d v="2026-04-16T16:00:59"/>
  </r>
  <r>
    <n v="209"/>
    <x v="8"/>
    <x v="7"/>
    <x v="6"/>
    <n v="107"/>
    <n v="6.4"/>
    <n v="13.48"/>
    <x v="0"/>
    <x v="19"/>
    <x v="4"/>
    <d v="2026-04-16T16:01:23"/>
  </r>
  <r>
    <n v="210"/>
    <x v="9"/>
    <x v="8"/>
    <x v="1"/>
    <n v="495"/>
    <n v="2.9"/>
    <n v="18.87"/>
    <x v="0"/>
    <x v="5"/>
    <x v="4"/>
    <d v="2026-04-16T16:01:38"/>
  </r>
  <r>
    <n v="211"/>
    <x v="10"/>
    <x v="9"/>
    <x v="0"/>
    <n v="136"/>
    <n v="1.6"/>
    <n v="13.45"/>
    <x v="1"/>
    <x v="2"/>
    <x v="4"/>
    <d v="2026-04-16T16:01:57"/>
  </r>
  <r>
    <n v="212"/>
    <x v="11"/>
    <x v="10"/>
    <x v="3"/>
    <n v="186"/>
    <n v="5.7"/>
    <n v="7.66"/>
    <x v="0"/>
    <x v="8"/>
    <x v="4"/>
    <d v="2026-04-16T16:02:10"/>
  </r>
  <r>
    <n v="213"/>
    <x v="12"/>
    <x v="11"/>
    <x v="3"/>
    <n v="307"/>
    <n v="5.5"/>
    <n v="19.75"/>
    <x v="1"/>
    <x v="6"/>
    <x v="4"/>
    <d v="2026-04-16T16:02:19"/>
  </r>
  <r>
    <n v="214"/>
    <x v="13"/>
    <x v="12"/>
    <x v="2"/>
    <n v="405"/>
    <n v="5.5"/>
    <n v="15.36"/>
    <x v="0"/>
    <x v="9"/>
    <x v="4"/>
    <d v="2026-04-16T16:02:27"/>
  </r>
  <r>
    <n v="215"/>
    <x v="14"/>
    <x v="13"/>
    <x v="0"/>
    <n v="274"/>
    <n v="2.2999999999999998"/>
    <n v="16.420000000000002"/>
    <x v="0"/>
    <x v="10"/>
    <x v="4"/>
    <d v="2026-04-16T16:02:35"/>
  </r>
  <r>
    <n v="216"/>
    <x v="15"/>
    <x v="14"/>
    <x v="0"/>
    <n v="348"/>
    <n v="6.1"/>
    <n v="13.12"/>
    <x v="0"/>
    <x v="9"/>
    <x v="4"/>
    <d v="2026-04-16T16:02:54"/>
  </r>
  <r>
    <n v="217"/>
    <x v="16"/>
    <x v="15"/>
    <x v="0"/>
    <n v="144"/>
    <n v="4.3"/>
    <n v="6.48"/>
    <x v="0"/>
    <x v="5"/>
    <x v="4"/>
    <d v="2026-04-16T16:03:17"/>
  </r>
  <r>
    <n v="218"/>
    <x v="17"/>
    <x v="11"/>
    <x v="3"/>
    <n v="375"/>
    <n v="5.9"/>
    <n v="16.32"/>
    <x v="0"/>
    <x v="6"/>
    <x v="4"/>
    <d v="2026-04-16T16:03:36"/>
  </r>
  <r>
    <n v="219"/>
    <x v="18"/>
    <x v="5"/>
    <x v="4"/>
    <n v="336"/>
    <n v="2.6"/>
    <n v="14.03"/>
    <x v="0"/>
    <x v="20"/>
    <x v="4"/>
    <d v="2026-04-16T16:04:00"/>
  </r>
  <r>
    <n v="220"/>
    <x v="19"/>
    <x v="11"/>
    <x v="3"/>
    <n v="119"/>
    <n v="5.5"/>
    <n v="11"/>
    <x v="0"/>
    <x v="12"/>
    <x v="4"/>
    <d v="2026-04-16T16:04:19"/>
  </r>
  <r>
    <n v="221"/>
    <x v="0"/>
    <x v="0"/>
    <x v="0"/>
    <n v="183"/>
    <n v="5.8"/>
    <n v="23.16"/>
    <x v="0"/>
    <x v="8"/>
    <x v="4"/>
    <d v="2026-04-16T16:04:33"/>
  </r>
  <r>
    <n v="222"/>
    <x v="1"/>
    <x v="1"/>
    <x v="1"/>
    <n v="367"/>
    <n v="5.2"/>
    <n v="11.76"/>
    <x v="0"/>
    <x v="19"/>
    <x v="4"/>
    <d v="2026-04-16T16:04:39"/>
  </r>
  <r>
    <n v="223"/>
    <x v="2"/>
    <x v="1"/>
    <x v="1"/>
    <n v="296"/>
    <n v="5.9"/>
    <n v="6.33"/>
    <x v="0"/>
    <x v="12"/>
    <x v="4"/>
    <d v="2026-04-16T16:04:52"/>
  </r>
  <r>
    <n v="224"/>
    <x v="3"/>
    <x v="2"/>
    <x v="2"/>
    <n v="188"/>
    <n v="5.4"/>
    <n v="17.29"/>
    <x v="0"/>
    <x v="14"/>
    <x v="4"/>
    <d v="2026-04-16T16:04:59"/>
  </r>
  <r>
    <n v="225"/>
    <x v="4"/>
    <x v="3"/>
    <x v="0"/>
    <n v="320"/>
    <n v="5.6"/>
    <n v="15.91"/>
    <x v="0"/>
    <x v="10"/>
    <x v="4"/>
    <d v="2026-04-16T16:05:14"/>
  </r>
  <r>
    <n v="226"/>
    <x v="5"/>
    <x v="4"/>
    <x v="3"/>
    <n v="166"/>
    <n v="3.5"/>
    <n v="14.91"/>
    <x v="1"/>
    <x v="1"/>
    <x v="4"/>
    <d v="2026-04-16T16:05:23"/>
  </r>
  <r>
    <n v="227"/>
    <x v="6"/>
    <x v="5"/>
    <x v="4"/>
    <n v="423"/>
    <n v="3.7"/>
    <n v="10.71"/>
    <x v="1"/>
    <x v="20"/>
    <x v="4"/>
    <d v="2026-04-16T16:05:38"/>
  </r>
  <r>
    <n v="228"/>
    <x v="7"/>
    <x v="6"/>
    <x v="5"/>
    <n v="232"/>
    <n v="5.2"/>
    <n v="21.01"/>
    <x v="0"/>
    <x v="10"/>
    <x v="4"/>
    <d v="2026-04-16T16:06:00"/>
  </r>
  <r>
    <n v="229"/>
    <x v="8"/>
    <x v="7"/>
    <x v="6"/>
    <n v="211"/>
    <n v="3.7"/>
    <n v="9.49"/>
    <x v="1"/>
    <x v="5"/>
    <x v="4"/>
    <d v="2026-04-16T16:06:20"/>
  </r>
  <r>
    <n v="230"/>
    <x v="9"/>
    <x v="8"/>
    <x v="1"/>
    <n v="465"/>
    <n v="5"/>
    <n v="20.25"/>
    <x v="0"/>
    <x v="8"/>
    <x v="4"/>
    <d v="2026-04-16T16:06:35"/>
  </r>
  <r>
    <n v="231"/>
    <x v="10"/>
    <x v="9"/>
    <x v="0"/>
    <n v="123"/>
    <n v="3.8"/>
    <n v="11.37"/>
    <x v="0"/>
    <x v="8"/>
    <x v="4"/>
    <d v="2026-04-16T16:06:41"/>
  </r>
  <r>
    <n v="232"/>
    <x v="11"/>
    <x v="10"/>
    <x v="3"/>
    <n v="398"/>
    <n v="4.9000000000000004"/>
    <n v="11.32"/>
    <x v="0"/>
    <x v="6"/>
    <x v="4"/>
    <d v="2026-04-16T16:07:02"/>
  </r>
  <r>
    <n v="233"/>
    <x v="12"/>
    <x v="11"/>
    <x v="3"/>
    <n v="439"/>
    <n v="5.6"/>
    <n v="17.87"/>
    <x v="0"/>
    <x v="3"/>
    <x v="4"/>
    <d v="2026-04-16T16:07:10"/>
  </r>
  <r>
    <n v="234"/>
    <x v="13"/>
    <x v="12"/>
    <x v="2"/>
    <n v="379"/>
    <n v="3.4"/>
    <n v="22.88"/>
    <x v="0"/>
    <x v="5"/>
    <x v="4"/>
    <d v="2026-04-16T16:07:25"/>
  </r>
  <r>
    <n v="235"/>
    <x v="14"/>
    <x v="13"/>
    <x v="0"/>
    <n v="333"/>
    <n v="4"/>
    <n v="10.89"/>
    <x v="1"/>
    <x v="19"/>
    <x v="4"/>
    <d v="2026-04-16T16:07:47"/>
  </r>
  <r>
    <n v="236"/>
    <x v="15"/>
    <x v="14"/>
    <x v="0"/>
    <n v="129"/>
    <n v="2.5"/>
    <n v="17.579999999999998"/>
    <x v="0"/>
    <x v="20"/>
    <x v="4"/>
    <d v="2026-04-16T16:08:10"/>
  </r>
  <r>
    <n v="237"/>
    <x v="16"/>
    <x v="15"/>
    <x v="0"/>
    <n v="367"/>
    <n v="3.9"/>
    <n v="15.87"/>
    <x v="0"/>
    <x v="14"/>
    <x v="4"/>
    <d v="2026-04-16T16:08:27"/>
  </r>
  <r>
    <n v="238"/>
    <x v="17"/>
    <x v="11"/>
    <x v="3"/>
    <n v="471"/>
    <n v="3.5"/>
    <n v="9.66"/>
    <x v="0"/>
    <x v="14"/>
    <x v="4"/>
    <d v="2026-04-16T16:08:49"/>
  </r>
  <r>
    <n v="239"/>
    <x v="18"/>
    <x v="5"/>
    <x v="4"/>
    <n v="204"/>
    <n v="1.7"/>
    <n v="11.19"/>
    <x v="1"/>
    <x v="5"/>
    <x v="4"/>
    <d v="2026-04-16T16:08:58"/>
  </r>
  <r>
    <n v="240"/>
    <x v="19"/>
    <x v="11"/>
    <x v="3"/>
    <n v="269"/>
    <n v="4.9000000000000004"/>
    <n v="12.28"/>
    <x v="0"/>
    <x v="9"/>
    <x v="4"/>
    <d v="2026-04-16T16:09:19"/>
  </r>
  <r>
    <n v="241"/>
    <x v="0"/>
    <x v="0"/>
    <x v="0"/>
    <n v="150"/>
    <n v="3.2"/>
    <n v="22.64"/>
    <x v="0"/>
    <x v="1"/>
    <x v="4"/>
    <d v="2026-04-16T16:28:28"/>
  </r>
  <r>
    <n v="242"/>
    <x v="1"/>
    <x v="1"/>
    <x v="1"/>
    <n v="113"/>
    <n v="2.7"/>
    <n v="10.210000000000001"/>
    <x v="0"/>
    <x v="8"/>
    <x v="4"/>
    <d v="2026-04-16T16:28:34"/>
  </r>
  <r>
    <n v="243"/>
    <x v="2"/>
    <x v="1"/>
    <x v="1"/>
    <n v="452"/>
    <n v="5.0999999999999996"/>
    <n v="19.440000000000001"/>
    <x v="0"/>
    <x v="14"/>
    <x v="4"/>
    <d v="2026-04-16T16:28:58"/>
  </r>
  <r>
    <n v="244"/>
    <x v="3"/>
    <x v="2"/>
    <x v="2"/>
    <n v="438"/>
    <n v="5.0999999999999996"/>
    <n v="11.59"/>
    <x v="0"/>
    <x v="2"/>
    <x v="4"/>
    <d v="2026-04-16T16:29:07"/>
  </r>
  <r>
    <n v="245"/>
    <x v="4"/>
    <x v="3"/>
    <x v="0"/>
    <n v="376"/>
    <n v="3.4"/>
    <n v="7.06"/>
    <x v="0"/>
    <x v="0"/>
    <x v="4"/>
    <d v="2026-04-16T16:29:23"/>
  </r>
  <r>
    <n v="246"/>
    <x v="5"/>
    <x v="4"/>
    <x v="3"/>
    <n v="370"/>
    <n v="3.7"/>
    <n v="13.92"/>
    <x v="0"/>
    <x v="11"/>
    <x v="4"/>
    <d v="2026-04-16T16:29:45"/>
  </r>
  <r>
    <n v="247"/>
    <x v="6"/>
    <x v="5"/>
    <x v="4"/>
    <n v="399"/>
    <n v="4.5999999999999996"/>
    <n v="15.66"/>
    <x v="0"/>
    <x v="17"/>
    <x v="4"/>
    <d v="2026-04-16T16:30:05"/>
  </r>
  <r>
    <n v="248"/>
    <x v="7"/>
    <x v="6"/>
    <x v="5"/>
    <n v="440"/>
    <n v="4.9000000000000004"/>
    <n v="24.69"/>
    <x v="0"/>
    <x v="7"/>
    <x v="4"/>
    <d v="2026-04-16T16:30:24"/>
  </r>
  <r>
    <n v="249"/>
    <x v="8"/>
    <x v="7"/>
    <x v="6"/>
    <n v="457"/>
    <n v="6.4"/>
    <n v="19.64"/>
    <x v="0"/>
    <x v="15"/>
    <x v="4"/>
    <d v="2026-04-16T16:30:43"/>
  </r>
  <r>
    <n v="250"/>
    <x v="9"/>
    <x v="8"/>
    <x v="1"/>
    <n v="153"/>
    <n v="4.0999999999999996"/>
    <n v="10.4"/>
    <x v="0"/>
    <x v="20"/>
    <x v="4"/>
    <d v="2026-04-16T16:31:04"/>
  </r>
  <r>
    <n v="251"/>
    <x v="10"/>
    <x v="9"/>
    <x v="0"/>
    <n v="114"/>
    <n v="5.9"/>
    <n v="20.95"/>
    <x v="0"/>
    <x v="11"/>
    <x v="4"/>
    <d v="2026-04-16T16:31:26"/>
  </r>
  <r>
    <n v="252"/>
    <x v="11"/>
    <x v="10"/>
    <x v="3"/>
    <n v="258"/>
    <n v="2.6"/>
    <n v="15.63"/>
    <x v="0"/>
    <x v="14"/>
    <x v="4"/>
    <d v="2026-04-16T16:31:38"/>
  </r>
  <r>
    <n v="253"/>
    <x v="12"/>
    <x v="11"/>
    <x v="3"/>
    <n v="437"/>
    <n v="6.7"/>
    <n v="19.149999999999999"/>
    <x v="0"/>
    <x v="16"/>
    <x v="4"/>
    <d v="2026-04-16T16:31:44"/>
  </r>
  <r>
    <n v="254"/>
    <x v="13"/>
    <x v="12"/>
    <x v="2"/>
    <n v="357"/>
    <n v="4.9000000000000004"/>
    <n v="9.32"/>
    <x v="0"/>
    <x v="6"/>
    <x v="4"/>
    <d v="2026-04-16T16:32:09"/>
  </r>
  <r>
    <n v="255"/>
    <x v="14"/>
    <x v="13"/>
    <x v="0"/>
    <n v="170"/>
    <n v="6.1"/>
    <n v="17.260000000000002"/>
    <x v="0"/>
    <x v="15"/>
    <x v="4"/>
    <d v="2026-04-16T16:32:26"/>
  </r>
  <r>
    <n v="256"/>
    <x v="15"/>
    <x v="14"/>
    <x v="0"/>
    <n v="251"/>
    <n v="5.4"/>
    <n v="9.7200000000000006"/>
    <x v="0"/>
    <x v="2"/>
    <x v="4"/>
    <d v="2026-04-16T16:32:45"/>
  </r>
  <r>
    <n v="257"/>
    <x v="16"/>
    <x v="15"/>
    <x v="0"/>
    <n v="153"/>
    <n v="4.0999999999999996"/>
    <n v="24.26"/>
    <x v="0"/>
    <x v="15"/>
    <x v="4"/>
    <d v="2026-04-16T16:32:58"/>
  </r>
  <r>
    <n v="258"/>
    <x v="17"/>
    <x v="11"/>
    <x v="3"/>
    <n v="239"/>
    <n v="3.5"/>
    <n v="17.91"/>
    <x v="0"/>
    <x v="2"/>
    <x v="4"/>
    <d v="2026-04-16T16:33:10"/>
  </r>
  <r>
    <n v="259"/>
    <x v="18"/>
    <x v="5"/>
    <x v="4"/>
    <n v="441"/>
    <n v="3.9"/>
    <n v="15.93"/>
    <x v="0"/>
    <x v="20"/>
    <x v="4"/>
    <d v="2026-04-16T16:33:23"/>
  </r>
  <r>
    <n v="260"/>
    <x v="19"/>
    <x v="11"/>
    <x v="3"/>
    <n v="155"/>
    <n v="7"/>
    <n v="8.4499999999999993"/>
    <x v="0"/>
    <x v="0"/>
    <x v="4"/>
    <d v="2026-04-16T16:33:28"/>
  </r>
  <r>
    <n v="261"/>
    <x v="0"/>
    <x v="0"/>
    <x v="0"/>
    <n v="224"/>
    <n v="1.6"/>
    <n v="5.5"/>
    <x v="0"/>
    <x v="10"/>
    <x v="5"/>
    <d v="2026-07-05T11:07:32"/>
  </r>
  <r>
    <n v="262"/>
    <x v="1"/>
    <x v="1"/>
    <x v="1"/>
    <n v="141"/>
    <n v="3.8"/>
    <n v="23.14"/>
    <x v="0"/>
    <x v="11"/>
    <x v="5"/>
    <d v="2026-07-05T11:07:51"/>
  </r>
  <r>
    <n v="263"/>
    <x v="2"/>
    <x v="1"/>
    <x v="1"/>
    <n v="453"/>
    <n v="1.7"/>
    <n v="10.130000000000001"/>
    <x v="0"/>
    <x v="12"/>
    <x v="5"/>
    <d v="2026-07-05T11:07:56"/>
  </r>
  <r>
    <n v="264"/>
    <x v="3"/>
    <x v="2"/>
    <x v="2"/>
    <n v="172"/>
    <n v="5.4"/>
    <n v="15.55"/>
    <x v="0"/>
    <x v="0"/>
    <x v="5"/>
    <d v="2026-07-05T11:08:08"/>
  </r>
  <r>
    <n v="265"/>
    <x v="4"/>
    <x v="3"/>
    <x v="0"/>
    <n v="426"/>
    <n v="5.6"/>
    <n v="6.93"/>
    <x v="0"/>
    <x v="6"/>
    <x v="5"/>
    <d v="2026-07-05T11:08:24"/>
  </r>
  <r>
    <n v="266"/>
    <x v="5"/>
    <x v="4"/>
    <x v="3"/>
    <n v="207"/>
    <n v="5"/>
    <n v="17.29"/>
    <x v="0"/>
    <x v="14"/>
    <x v="5"/>
    <d v="2026-07-05T11:08:35"/>
  </r>
  <r>
    <n v="267"/>
    <x v="6"/>
    <x v="5"/>
    <x v="4"/>
    <n v="260"/>
    <n v="3.5"/>
    <n v="13.26"/>
    <x v="0"/>
    <x v="9"/>
    <x v="5"/>
    <d v="2026-07-05T11:08:57"/>
  </r>
  <r>
    <n v="268"/>
    <x v="7"/>
    <x v="6"/>
    <x v="5"/>
    <n v="195"/>
    <n v="7"/>
    <n v="22.92"/>
    <x v="0"/>
    <x v="10"/>
    <x v="5"/>
    <d v="2026-07-05T11:09:05"/>
  </r>
  <r>
    <n v="269"/>
    <x v="8"/>
    <x v="7"/>
    <x v="6"/>
    <n v="468"/>
    <n v="6.5"/>
    <n v="20.03"/>
    <x v="0"/>
    <x v="16"/>
    <x v="5"/>
    <d v="2026-07-05T11:09:20"/>
  </r>
  <r>
    <n v="270"/>
    <x v="9"/>
    <x v="8"/>
    <x v="1"/>
    <n v="443"/>
    <n v="5.3"/>
    <n v="16.5"/>
    <x v="0"/>
    <x v="10"/>
    <x v="5"/>
    <d v="2026-07-05T11:09:37"/>
  </r>
  <r>
    <n v="271"/>
    <x v="10"/>
    <x v="9"/>
    <x v="0"/>
    <n v="297"/>
    <n v="6.6"/>
    <n v="9.39"/>
    <x v="0"/>
    <x v="10"/>
    <x v="5"/>
    <d v="2026-07-05T11:09:50"/>
  </r>
  <r>
    <n v="272"/>
    <x v="11"/>
    <x v="10"/>
    <x v="3"/>
    <n v="279"/>
    <n v="4.7"/>
    <n v="13.72"/>
    <x v="0"/>
    <x v="5"/>
    <x v="5"/>
    <d v="2026-07-05T11:10:14"/>
  </r>
  <r>
    <n v="273"/>
    <x v="12"/>
    <x v="11"/>
    <x v="3"/>
    <n v="481"/>
    <n v="6.9"/>
    <n v="21.71"/>
    <x v="0"/>
    <x v="15"/>
    <x v="5"/>
    <d v="2026-07-05T11:10:36"/>
  </r>
  <r>
    <n v="274"/>
    <x v="13"/>
    <x v="12"/>
    <x v="2"/>
    <n v="413"/>
    <n v="7"/>
    <n v="21.03"/>
    <x v="1"/>
    <x v="7"/>
    <x v="5"/>
    <d v="2026-07-05T11:11:00"/>
  </r>
  <r>
    <n v="275"/>
    <x v="14"/>
    <x v="13"/>
    <x v="0"/>
    <n v="213"/>
    <n v="2.7"/>
    <n v="17.309999999999999"/>
    <x v="0"/>
    <x v="2"/>
    <x v="5"/>
    <d v="2026-07-05T11:11:22"/>
  </r>
  <r>
    <n v="276"/>
    <x v="15"/>
    <x v="14"/>
    <x v="0"/>
    <n v="338"/>
    <n v="6"/>
    <n v="21.51"/>
    <x v="0"/>
    <x v="19"/>
    <x v="5"/>
    <d v="2026-07-05T11:11:29"/>
  </r>
  <r>
    <n v="277"/>
    <x v="16"/>
    <x v="15"/>
    <x v="0"/>
    <n v="325"/>
    <n v="5.8"/>
    <n v="20.59"/>
    <x v="0"/>
    <x v="17"/>
    <x v="5"/>
    <d v="2026-07-05T11:11:42"/>
  </r>
  <r>
    <n v="278"/>
    <x v="17"/>
    <x v="11"/>
    <x v="3"/>
    <n v="401"/>
    <n v="5.2"/>
    <n v="8.44"/>
    <x v="1"/>
    <x v="3"/>
    <x v="5"/>
    <d v="2026-07-05T11:11:58"/>
  </r>
  <r>
    <n v="279"/>
    <x v="18"/>
    <x v="5"/>
    <x v="4"/>
    <n v="125"/>
    <n v="2.2000000000000002"/>
    <n v="22.72"/>
    <x v="0"/>
    <x v="17"/>
    <x v="5"/>
    <d v="2026-07-05T11:12:21"/>
  </r>
  <r>
    <n v="280"/>
    <x v="19"/>
    <x v="11"/>
    <x v="3"/>
    <n v="396"/>
    <n v="2.8"/>
    <n v="20.09"/>
    <x v="0"/>
    <x v="10"/>
    <x v="5"/>
    <d v="2026-07-05T11:12:2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n v="1"/>
    <s v="Donald"/>
    <s v="Alvarez"/>
    <n v="35"/>
    <x v="0"/>
    <x v="0"/>
    <x v="0"/>
    <d v="2026-03-10T22:04:03"/>
  </r>
  <r>
    <n v="2"/>
    <s v="Jennifer"/>
    <s v="Edwards"/>
    <n v="49"/>
    <x v="0"/>
    <x v="1"/>
    <x v="1"/>
    <d v="2026-03-10T22:04:19"/>
  </r>
  <r>
    <n v="3"/>
    <s v="Jeffrey"/>
    <s v="Evans"/>
    <n v="39"/>
    <x v="1"/>
    <x v="2"/>
    <x v="1"/>
    <d v="2026-03-10T22:05:07"/>
  </r>
  <r>
    <n v="4"/>
    <s v="Denise"/>
    <s v="Hall"/>
    <n v="27"/>
    <x v="1"/>
    <x v="0"/>
    <x v="2"/>
    <d v="2026-03-10T22:05:30"/>
  </r>
  <r>
    <n v="5"/>
    <s v="Jacqueline"/>
    <s v="Woods"/>
    <n v="18"/>
    <x v="2"/>
    <x v="0"/>
    <x v="2"/>
    <d v="2026-03-10T22:05:47"/>
  </r>
  <r>
    <n v="6"/>
    <s v="Beth"/>
    <s v="Zuniga"/>
    <n v="39"/>
    <x v="1"/>
    <x v="3"/>
    <x v="3"/>
    <d v="2026-03-10T22:06:27"/>
  </r>
  <r>
    <n v="7"/>
    <s v="Deanna"/>
    <s v="Castillo"/>
    <n v="32"/>
    <x v="1"/>
    <x v="4"/>
    <x v="1"/>
    <d v="2026-03-10T22:06:54"/>
  </r>
  <r>
    <n v="8"/>
    <s v="Teresa"/>
    <s v="Collins"/>
    <n v="29"/>
    <x v="2"/>
    <x v="2"/>
    <x v="4"/>
    <d v="2026-03-10T22:07:29"/>
  </r>
  <r>
    <n v="9"/>
    <s v="Daisy"/>
    <s v="Hunt"/>
    <n v="44"/>
    <x v="0"/>
    <x v="2"/>
    <x v="5"/>
    <d v="2026-03-10T22:08:24"/>
  </r>
  <r>
    <n v="10"/>
    <s v="Todd"/>
    <s v="Reyes"/>
    <n v="29"/>
    <x v="2"/>
    <x v="1"/>
    <x v="6"/>
    <d v="2026-03-10T22:09:17"/>
  </r>
  <r>
    <n v="11"/>
    <s v="Mark"/>
    <s v="Aguilar"/>
    <n v="39"/>
    <x v="2"/>
    <x v="5"/>
    <x v="7"/>
    <d v="2026-03-10T22:10:09"/>
  </r>
  <r>
    <n v="12"/>
    <s v="Lori"/>
    <s v="Bishop"/>
    <n v="69"/>
    <x v="2"/>
    <x v="1"/>
    <x v="7"/>
    <d v="2026-03-10T22:10:49"/>
  </r>
  <r>
    <n v="13"/>
    <s v="Marc"/>
    <s v="Townsend"/>
    <n v="57"/>
    <x v="2"/>
    <x v="0"/>
    <x v="8"/>
    <d v="2026-03-10T22:11:40"/>
  </r>
  <r>
    <n v="14"/>
    <s v="Kenneth"/>
    <s v="Peters"/>
    <n v="31"/>
    <x v="0"/>
    <x v="4"/>
    <x v="9"/>
    <d v="2026-03-10T22:11:52"/>
  </r>
  <r>
    <n v="15"/>
    <s v="Ronald"/>
    <s v="Ortega"/>
    <n v="60"/>
    <x v="0"/>
    <x v="4"/>
    <x v="10"/>
    <d v="2026-03-10T22:12:39"/>
  </r>
  <r>
    <n v="16"/>
    <s v="William"/>
    <s v="George"/>
    <n v="61"/>
    <x v="0"/>
    <x v="0"/>
    <x v="7"/>
    <d v="2026-03-10T22:13:37"/>
  </r>
  <r>
    <n v="17"/>
    <s v="Kenneth"/>
    <s v="Snyder"/>
    <n v="61"/>
    <x v="0"/>
    <x v="3"/>
    <x v="0"/>
    <d v="2026-03-10T22:14:06"/>
  </r>
  <r>
    <n v="18"/>
    <s v="Kim"/>
    <s v="James"/>
    <n v="46"/>
    <x v="1"/>
    <x v="1"/>
    <x v="6"/>
    <d v="2026-03-10T22:14:17"/>
  </r>
  <r>
    <n v="19"/>
    <s v="Frank"/>
    <s v="Salazar"/>
    <n v="37"/>
    <x v="0"/>
    <x v="3"/>
    <x v="11"/>
    <d v="2026-03-10T22:15:02"/>
  </r>
  <r>
    <n v="20"/>
    <s v="Susan"/>
    <s v="Day"/>
    <n v="26"/>
    <x v="1"/>
    <x v="0"/>
    <x v="12"/>
    <d v="2026-03-10T22:15:15"/>
  </r>
  <r>
    <n v="21"/>
    <s v="Tiffany"/>
    <s v="Hall"/>
    <n v="46"/>
    <x v="1"/>
    <x v="0"/>
    <x v="13"/>
    <d v="2026-03-10T22:15:34"/>
  </r>
  <r>
    <n v="22"/>
    <s v="Jose"/>
    <s v="Duarte"/>
    <n v="57"/>
    <x v="1"/>
    <x v="6"/>
    <x v="1"/>
    <d v="2026-03-10T22:16:26"/>
  </r>
  <r>
    <n v="23"/>
    <s v="Anthony"/>
    <s v="Lee"/>
    <n v="62"/>
    <x v="1"/>
    <x v="0"/>
    <x v="14"/>
    <d v="2026-03-10T22:16:45"/>
  </r>
  <r>
    <n v="24"/>
    <s v="William"/>
    <s v="Moore"/>
    <n v="47"/>
    <x v="2"/>
    <x v="4"/>
    <x v="5"/>
    <d v="2026-03-10T22:17:14"/>
  </r>
  <r>
    <n v="25"/>
    <s v="Michael"/>
    <s v="Fuller"/>
    <n v="46"/>
    <x v="1"/>
    <x v="5"/>
    <x v="15"/>
    <d v="2026-03-10T22:18:05"/>
  </r>
  <r>
    <n v="26"/>
    <s v="Jason"/>
    <s v="Davis"/>
    <n v="46"/>
    <x v="2"/>
    <x v="0"/>
    <x v="15"/>
    <d v="2026-03-10T22:18:36"/>
  </r>
  <r>
    <n v="27"/>
    <s v="Dillon"/>
    <s v="Hunt"/>
    <n v="67"/>
    <x v="2"/>
    <x v="5"/>
    <x v="0"/>
    <d v="2026-03-10T22:18:46"/>
  </r>
  <r>
    <n v="28"/>
    <s v="Christopher"/>
    <s v="Dodson"/>
    <n v="35"/>
    <x v="0"/>
    <x v="3"/>
    <x v="6"/>
    <d v="2026-03-10T22:19:35"/>
  </r>
  <r>
    <n v="29"/>
    <s v="Matthew"/>
    <s v="Clark"/>
    <n v="34"/>
    <x v="0"/>
    <x v="2"/>
    <x v="2"/>
    <d v="2026-03-10T22:20:17"/>
  </r>
  <r>
    <n v="30"/>
    <s v="Timothy"/>
    <s v="Moreno"/>
    <n v="41"/>
    <x v="2"/>
    <x v="1"/>
    <x v="10"/>
    <d v="2026-03-10T22:21:09"/>
  </r>
  <r>
    <n v="31"/>
    <s v="Gabriel"/>
    <s v="Harris"/>
    <n v="20"/>
    <x v="2"/>
    <x v="0"/>
    <x v="12"/>
    <d v="2026-03-10T22:21:28"/>
  </r>
  <r>
    <n v="32"/>
    <s v="Joshua"/>
    <s v="Harris"/>
    <n v="53"/>
    <x v="1"/>
    <x v="5"/>
    <x v="15"/>
    <d v="2026-03-10T22:21:49"/>
  </r>
  <r>
    <n v="33"/>
    <s v="Patricia"/>
    <s v="Gonzalez"/>
    <n v="54"/>
    <x v="2"/>
    <x v="5"/>
    <x v="13"/>
    <d v="2026-03-10T22:22:11"/>
  </r>
  <r>
    <n v="34"/>
    <s v="Olivia"/>
    <s v="Spencer"/>
    <n v="20"/>
    <x v="0"/>
    <x v="5"/>
    <x v="1"/>
    <d v="2026-03-10T22:22:51"/>
  </r>
  <r>
    <n v="35"/>
    <s v="Robert"/>
    <s v="Rogers"/>
    <n v="35"/>
    <x v="2"/>
    <x v="1"/>
    <x v="16"/>
    <d v="2026-03-10T22:23:50"/>
  </r>
  <r>
    <n v="36"/>
    <s v="Ashley"/>
    <s v="Hancock"/>
    <n v="70"/>
    <x v="0"/>
    <x v="4"/>
    <x v="16"/>
    <d v="2026-03-10T22:24:13"/>
  </r>
  <r>
    <n v="37"/>
    <s v="Hayley"/>
    <s v="Chambers"/>
    <n v="67"/>
    <x v="1"/>
    <x v="2"/>
    <x v="9"/>
    <d v="2026-03-10T22:25:08"/>
  </r>
  <r>
    <n v="38"/>
    <s v="David"/>
    <s v="Wilkerson"/>
    <n v="33"/>
    <x v="1"/>
    <x v="2"/>
    <x v="11"/>
    <d v="2026-03-10T22:26:08"/>
  </r>
  <r>
    <n v="39"/>
    <s v="Amber"/>
    <s v="Arnold"/>
    <n v="59"/>
    <x v="0"/>
    <x v="5"/>
    <x v="0"/>
    <d v="2026-03-10T22:26:26"/>
  </r>
  <r>
    <n v="40"/>
    <s v="Natalie"/>
    <s v="Ward"/>
    <n v="48"/>
    <x v="2"/>
    <x v="1"/>
    <x v="16"/>
    <d v="2026-03-10T22:27:08"/>
  </r>
  <r>
    <n v="41"/>
    <s v="Maria"/>
    <s v="Orr"/>
    <n v="37"/>
    <x v="1"/>
    <x v="2"/>
    <x v="14"/>
    <d v="2026-03-10T22:27:39"/>
  </r>
  <r>
    <n v="42"/>
    <s v="Karen"/>
    <s v="Miller"/>
    <n v="52"/>
    <x v="0"/>
    <x v="3"/>
    <x v="17"/>
    <d v="2026-03-10T22:28:25"/>
  </r>
  <r>
    <n v="43"/>
    <s v="Dawn"/>
    <s v="Ward"/>
    <n v="38"/>
    <x v="2"/>
    <x v="0"/>
    <x v="13"/>
    <d v="2026-03-10T22:28:38"/>
  </r>
  <r>
    <n v="44"/>
    <s v="Christopher"/>
    <s v="Evans"/>
    <n v="45"/>
    <x v="2"/>
    <x v="5"/>
    <x v="15"/>
    <d v="2026-03-10T22:29:22"/>
  </r>
  <r>
    <n v="45"/>
    <s v="Natalie"/>
    <s v="Bird"/>
    <n v="66"/>
    <x v="0"/>
    <x v="1"/>
    <x v="3"/>
    <d v="2026-03-10T22:30:00"/>
  </r>
  <r>
    <n v="46"/>
    <s v="Brian"/>
    <s v="Mills"/>
    <n v="28"/>
    <x v="2"/>
    <x v="1"/>
    <x v="9"/>
    <d v="2026-03-10T22:30:22"/>
  </r>
  <r>
    <n v="47"/>
    <s v="Mary"/>
    <s v="Russo"/>
    <n v="63"/>
    <x v="1"/>
    <x v="4"/>
    <x v="2"/>
    <d v="2026-03-10T22:30:51"/>
  </r>
  <r>
    <n v="48"/>
    <s v="Christopher"/>
    <s v="Cherry"/>
    <n v="24"/>
    <x v="1"/>
    <x v="5"/>
    <x v="7"/>
    <d v="2026-03-10T22:31:22"/>
  </r>
  <r>
    <n v="49"/>
    <s v="Kelly"/>
    <s v="Dixon"/>
    <n v="55"/>
    <x v="2"/>
    <x v="6"/>
    <x v="6"/>
    <d v="2026-03-10T22:31:51"/>
  </r>
  <r>
    <n v="50"/>
    <s v="David"/>
    <s v="Walls"/>
    <n v="29"/>
    <x v="2"/>
    <x v="3"/>
    <x v="10"/>
    <d v="2026-03-10T22:32:26"/>
  </r>
  <r>
    <n v="51"/>
    <s v="Patrick"/>
    <s v="Gomez"/>
    <n v="54"/>
    <x v="2"/>
    <x v="2"/>
    <x v="9"/>
    <d v="2026-03-10T22:33:20"/>
  </r>
  <r>
    <n v="52"/>
    <s v="Elizabeth"/>
    <s v="Martinez"/>
    <n v="20"/>
    <x v="2"/>
    <x v="0"/>
    <x v="16"/>
    <d v="2026-03-10T22:34:00"/>
  </r>
  <r>
    <n v="53"/>
    <s v="Jacqueline"/>
    <s v="Cook"/>
    <n v="54"/>
    <x v="1"/>
    <x v="6"/>
    <x v="18"/>
    <d v="2026-03-10T22:34:49"/>
  </r>
  <r>
    <n v="54"/>
    <s v="Charles"/>
    <s v="Lewis"/>
    <n v="23"/>
    <x v="0"/>
    <x v="4"/>
    <x v="19"/>
    <d v="2026-03-10T22:35:23"/>
  </r>
  <r>
    <n v="55"/>
    <s v="Amy"/>
    <s v="Smith"/>
    <n v="50"/>
    <x v="2"/>
    <x v="0"/>
    <x v="14"/>
    <d v="2026-03-10T22:35:39"/>
  </r>
  <r>
    <n v="56"/>
    <s v="James"/>
    <s v="Yoder"/>
    <n v="37"/>
    <x v="1"/>
    <x v="5"/>
    <x v="10"/>
    <d v="2026-03-10T22:36:04"/>
  </r>
  <r>
    <n v="57"/>
    <s v="Anthony"/>
    <s v="Riley"/>
    <n v="20"/>
    <x v="0"/>
    <x v="2"/>
    <x v="0"/>
    <d v="2026-03-10T22:36:38"/>
  </r>
  <r>
    <n v="58"/>
    <s v="Deborah"/>
    <s v="Johnson"/>
    <n v="49"/>
    <x v="2"/>
    <x v="2"/>
    <x v="5"/>
    <d v="2026-03-10T22:36:53"/>
  </r>
  <r>
    <n v="59"/>
    <s v="Julie"/>
    <s v="Key"/>
    <n v="59"/>
    <x v="2"/>
    <x v="1"/>
    <x v="9"/>
    <d v="2026-03-10T22:37:29"/>
  </r>
  <r>
    <n v="60"/>
    <s v="Laura"/>
    <s v="Friedman"/>
    <n v="21"/>
    <x v="1"/>
    <x v="5"/>
    <x v="12"/>
    <d v="2026-03-10T22:37:40"/>
  </r>
  <r>
    <n v="61"/>
    <s v="Amy"/>
    <s v="Wilkerson"/>
    <n v="26"/>
    <x v="2"/>
    <x v="2"/>
    <x v="6"/>
    <d v="2026-03-10T22:37:52"/>
  </r>
  <r>
    <n v="62"/>
    <s v="Brandon"/>
    <s v="Murphy"/>
    <n v="52"/>
    <x v="1"/>
    <x v="2"/>
    <x v="13"/>
    <d v="2026-03-10T22:38:20"/>
  </r>
  <r>
    <n v="63"/>
    <s v="Marissa"/>
    <s v="Huynh"/>
    <n v="51"/>
    <x v="0"/>
    <x v="0"/>
    <x v="16"/>
    <d v="2026-03-10T22:39:02"/>
  </r>
  <r>
    <n v="64"/>
    <s v="Mary"/>
    <s v="Baker"/>
    <n v="34"/>
    <x v="1"/>
    <x v="1"/>
    <x v="12"/>
    <d v="2026-03-10T22:39:49"/>
  </r>
  <r>
    <n v="65"/>
    <s v="Travis"/>
    <s v="Powell"/>
    <n v="38"/>
    <x v="1"/>
    <x v="4"/>
    <x v="14"/>
    <d v="2026-03-10T22:40:41"/>
  </r>
  <r>
    <n v="66"/>
    <s v="Daniel"/>
    <s v="Trevino"/>
    <n v="29"/>
    <x v="2"/>
    <x v="0"/>
    <x v="3"/>
    <d v="2026-03-10T22:41:16"/>
  </r>
  <r>
    <n v="67"/>
    <s v="Tabitha"/>
    <s v="Cantu"/>
    <n v="39"/>
    <x v="2"/>
    <x v="1"/>
    <x v="14"/>
    <d v="2026-03-10T22:41:44"/>
  </r>
  <r>
    <n v="68"/>
    <s v="Erik"/>
    <s v="Graves"/>
    <n v="56"/>
    <x v="2"/>
    <x v="1"/>
    <x v="18"/>
    <d v="2026-03-10T22:42:37"/>
  </r>
  <r>
    <n v="69"/>
    <s v="Robert"/>
    <s v="Morgan"/>
    <n v="68"/>
    <x v="1"/>
    <x v="0"/>
    <x v="9"/>
    <d v="2026-03-10T22:43:19"/>
  </r>
  <r>
    <n v="70"/>
    <s v="Brent"/>
    <s v="Frye"/>
    <n v="25"/>
    <x v="0"/>
    <x v="5"/>
    <x v="1"/>
    <d v="2026-03-10T22:44:17"/>
  </r>
  <r>
    <n v="71"/>
    <s v="Ryan"/>
    <s v="Morrison"/>
    <n v="37"/>
    <x v="2"/>
    <x v="6"/>
    <x v="0"/>
    <d v="2026-03-10T22:45:00"/>
  </r>
  <r>
    <n v="72"/>
    <s v="Misty"/>
    <s v="Weber"/>
    <n v="50"/>
    <x v="2"/>
    <x v="5"/>
    <x v="13"/>
    <d v="2026-03-10T22:45:45"/>
  </r>
  <r>
    <n v="73"/>
    <s v="Juan"/>
    <s v="Cross"/>
    <n v="41"/>
    <x v="2"/>
    <x v="5"/>
    <x v="3"/>
    <d v="2026-03-10T22:46:20"/>
  </r>
  <r>
    <n v="74"/>
    <s v="Gloria"/>
    <s v="Lawrence"/>
    <n v="29"/>
    <x v="1"/>
    <x v="4"/>
    <x v="1"/>
    <d v="2026-03-10T22:47:10"/>
  </r>
  <r>
    <n v="75"/>
    <s v="Zachary"/>
    <s v="Harris"/>
    <n v="63"/>
    <x v="2"/>
    <x v="0"/>
    <x v="18"/>
    <d v="2026-03-10T22:48:06"/>
  </r>
  <r>
    <n v="76"/>
    <s v="Vincent"/>
    <s v="Knox"/>
    <n v="52"/>
    <x v="0"/>
    <x v="1"/>
    <x v="19"/>
    <d v="2026-03-10T22:48:29"/>
  </r>
  <r>
    <n v="77"/>
    <s v="Haley"/>
    <s v="Jones"/>
    <n v="42"/>
    <x v="1"/>
    <x v="6"/>
    <x v="9"/>
    <d v="2026-03-10T22:48:39"/>
  </r>
  <r>
    <n v="78"/>
    <s v="Zachary"/>
    <s v="Lee"/>
    <n v="30"/>
    <x v="1"/>
    <x v="5"/>
    <x v="0"/>
    <d v="2026-03-10T22:49:32"/>
  </r>
  <r>
    <n v="79"/>
    <s v="Sally"/>
    <s v="Scott"/>
    <n v="31"/>
    <x v="0"/>
    <x v="3"/>
    <x v="9"/>
    <d v="2026-03-10T22:49:43"/>
  </r>
  <r>
    <n v="80"/>
    <s v="Adam"/>
    <s v="Lopez"/>
    <n v="59"/>
    <x v="0"/>
    <x v="5"/>
    <x v="19"/>
    <d v="2026-03-10T22:50:30"/>
  </r>
  <r>
    <n v="81"/>
    <s v="Matthew"/>
    <s v="Nguyen"/>
    <n v="34"/>
    <x v="1"/>
    <x v="3"/>
    <x v="13"/>
    <d v="2026-03-10T22:50:44"/>
  </r>
  <r>
    <n v="82"/>
    <s v="Veronica"/>
    <s v="Hardin"/>
    <n v="61"/>
    <x v="1"/>
    <x v="3"/>
    <x v="2"/>
    <d v="2026-03-10T22:51:24"/>
  </r>
  <r>
    <n v="83"/>
    <s v="Jessica"/>
    <s v="Oneal"/>
    <n v="50"/>
    <x v="0"/>
    <x v="4"/>
    <x v="12"/>
    <d v="2026-03-10T22:52:02"/>
  </r>
  <r>
    <n v="84"/>
    <s v="Crystal"/>
    <s v="Rice"/>
    <n v="34"/>
    <x v="0"/>
    <x v="4"/>
    <x v="19"/>
    <d v="2026-03-10T22:52:51"/>
  </r>
  <r>
    <n v="85"/>
    <s v="Jared"/>
    <s v="Caldwell"/>
    <n v="58"/>
    <x v="2"/>
    <x v="4"/>
    <x v="15"/>
    <d v="2026-03-10T22:53:04"/>
  </r>
  <r>
    <n v="86"/>
    <s v="Matthew"/>
    <s v="Reed"/>
    <n v="52"/>
    <x v="2"/>
    <x v="3"/>
    <x v="3"/>
    <d v="2026-03-10T22:53:43"/>
  </r>
  <r>
    <n v="87"/>
    <s v="Matthew"/>
    <s v="Vazquez"/>
    <n v="38"/>
    <x v="0"/>
    <x v="4"/>
    <x v="0"/>
    <d v="2026-03-10T22:54:32"/>
  </r>
  <r>
    <n v="88"/>
    <s v="Lindsay"/>
    <s v="Benson"/>
    <n v="39"/>
    <x v="1"/>
    <x v="2"/>
    <x v="14"/>
    <d v="2026-03-10T22:55:11"/>
  </r>
  <r>
    <n v="89"/>
    <s v="Dana"/>
    <s v="Tucker"/>
    <n v="27"/>
    <x v="0"/>
    <x v="5"/>
    <x v="13"/>
    <d v="2026-03-10T22:55:29"/>
  </r>
  <r>
    <n v="90"/>
    <s v="Lance"/>
    <s v="Sims"/>
    <n v="28"/>
    <x v="0"/>
    <x v="3"/>
    <x v="13"/>
    <d v="2026-03-10T22:56:05"/>
  </r>
  <r>
    <n v="91"/>
    <s v="Thomas"/>
    <s v="Russell"/>
    <n v="64"/>
    <x v="0"/>
    <x v="0"/>
    <x v="6"/>
    <d v="2026-03-10T22:56:33"/>
  </r>
  <r>
    <n v="92"/>
    <s v="Claire"/>
    <s v="Reilly"/>
    <n v="28"/>
    <x v="1"/>
    <x v="3"/>
    <x v="0"/>
    <d v="2026-03-10T22:57:11"/>
  </r>
  <r>
    <n v="93"/>
    <s v="Robyn"/>
    <s v="Thomas"/>
    <n v="37"/>
    <x v="1"/>
    <x v="3"/>
    <x v="15"/>
    <d v="2026-03-10T22:58:05"/>
  </r>
  <r>
    <n v="94"/>
    <s v="Dana"/>
    <s v="Caldwell"/>
    <n v="37"/>
    <x v="2"/>
    <x v="5"/>
    <x v="1"/>
    <d v="2026-03-10T22:58:59"/>
  </r>
  <r>
    <n v="95"/>
    <s v="Kimberly"/>
    <s v="Horne"/>
    <n v="40"/>
    <x v="2"/>
    <x v="3"/>
    <x v="6"/>
    <d v="2026-03-10T22:59:30"/>
  </r>
  <r>
    <n v="96"/>
    <s v="Tammy"/>
    <s v="Moran"/>
    <n v="30"/>
    <x v="0"/>
    <x v="5"/>
    <x v="12"/>
    <d v="2026-03-10T23:00:02"/>
  </r>
  <r>
    <n v="97"/>
    <s v="Tammie"/>
    <s v="Miller"/>
    <n v="67"/>
    <x v="0"/>
    <x v="4"/>
    <x v="11"/>
    <d v="2026-03-10T23:00:28"/>
  </r>
  <r>
    <n v="98"/>
    <s v="Miranda"/>
    <s v="Turner"/>
    <n v="70"/>
    <x v="2"/>
    <x v="4"/>
    <x v="1"/>
    <d v="2026-03-10T23:00:41"/>
  </r>
  <r>
    <n v="99"/>
    <s v="Lisa"/>
    <s v="Nichols"/>
    <n v="68"/>
    <x v="2"/>
    <x v="0"/>
    <x v="17"/>
    <d v="2026-03-10T23:01:32"/>
  </r>
  <r>
    <n v="100"/>
    <s v="Leah"/>
    <s v="Gonzalez"/>
    <n v="27"/>
    <x v="1"/>
    <x v="6"/>
    <x v="3"/>
    <d v="2026-03-10T23:02:03"/>
  </r>
  <r>
    <n v="101"/>
    <s v="Julie"/>
    <s v="Sampson"/>
    <n v="18"/>
    <x v="2"/>
    <x v="3"/>
    <x v="18"/>
    <d v="2026-03-13T16:03:11"/>
  </r>
  <r>
    <n v="102"/>
    <s v="Ricky"/>
    <s v="Thompson"/>
    <n v="44"/>
    <x v="1"/>
    <x v="5"/>
    <x v="2"/>
    <d v="2026-03-13T16:03:53"/>
  </r>
  <r>
    <n v="103"/>
    <s v="Timothy"/>
    <s v="Fernandez"/>
    <n v="49"/>
    <x v="1"/>
    <x v="4"/>
    <x v="0"/>
    <d v="2026-03-13T16:04:46"/>
  </r>
  <r>
    <n v="104"/>
    <s v="Antonio"/>
    <s v="Barker"/>
    <n v="51"/>
    <x v="2"/>
    <x v="1"/>
    <x v="17"/>
    <d v="2026-03-13T16:05:42"/>
  </r>
  <r>
    <n v="105"/>
    <s v="Bonnie"/>
    <s v="Harper"/>
    <n v="18"/>
    <x v="0"/>
    <x v="4"/>
    <x v="10"/>
    <d v="2026-03-13T16:06:27"/>
  </r>
  <r>
    <n v="106"/>
    <s v="Dominic"/>
    <s v="Martinez"/>
    <n v="21"/>
    <x v="2"/>
    <x v="4"/>
    <x v="12"/>
    <d v="2026-03-13T16:06:56"/>
  </r>
  <r>
    <n v="107"/>
    <s v="Troy"/>
    <s v="Thomas"/>
    <n v="66"/>
    <x v="0"/>
    <x v="0"/>
    <x v="6"/>
    <d v="2026-03-13T16:07:40"/>
  </r>
  <r>
    <n v="108"/>
    <s v="Molly"/>
    <s v="Turner"/>
    <n v="18"/>
    <x v="2"/>
    <x v="6"/>
    <x v="0"/>
    <d v="2026-03-13T16:08:35"/>
  </r>
  <r>
    <n v="109"/>
    <s v="Angela"/>
    <s v="Reyes"/>
    <n v="21"/>
    <x v="2"/>
    <x v="3"/>
    <x v="16"/>
    <d v="2026-03-13T16:09:32"/>
  </r>
  <r>
    <n v="110"/>
    <s v="Desiree"/>
    <s v="Martin"/>
    <n v="59"/>
    <x v="1"/>
    <x v="1"/>
    <x v="19"/>
    <d v="2026-03-13T16:10:30"/>
  </r>
  <r>
    <n v="111"/>
    <s v="Jamie"/>
    <s v="Walker"/>
    <n v="19"/>
    <x v="1"/>
    <x v="3"/>
    <x v="18"/>
    <d v="2026-03-13T16:11:18"/>
  </r>
  <r>
    <n v="112"/>
    <s v="Mark"/>
    <s v="Harrell"/>
    <n v="29"/>
    <x v="1"/>
    <x v="0"/>
    <x v="4"/>
    <d v="2026-03-13T16:12:02"/>
  </r>
  <r>
    <n v="113"/>
    <s v="Jerry"/>
    <s v="Keller"/>
    <n v="61"/>
    <x v="0"/>
    <x v="4"/>
    <x v="16"/>
    <d v="2026-03-13T16:12:36"/>
  </r>
  <r>
    <n v="114"/>
    <s v="Julian"/>
    <s v="Brandt"/>
    <n v="41"/>
    <x v="1"/>
    <x v="0"/>
    <x v="19"/>
    <d v="2026-03-13T16:13:04"/>
  </r>
  <r>
    <n v="115"/>
    <s v="Susan"/>
    <s v="Sparks"/>
    <n v="22"/>
    <x v="2"/>
    <x v="5"/>
    <x v="15"/>
    <d v="2026-03-13T16:13:15"/>
  </r>
  <r>
    <n v="116"/>
    <s v="Susan"/>
    <s v="Evans"/>
    <n v="35"/>
    <x v="0"/>
    <x v="2"/>
    <x v="9"/>
    <d v="2026-03-13T16:14:15"/>
  </r>
  <r>
    <n v="117"/>
    <s v="Melvin"/>
    <s v="Morgan"/>
    <n v="22"/>
    <x v="1"/>
    <x v="3"/>
    <x v="14"/>
    <d v="2026-03-13T16:14:41"/>
  </r>
  <r>
    <n v="118"/>
    <s v="Megan"/>
    <s v="Terry"/>
    <n v="63"/>
    <x v="0"/>
    <x v="6"/>
    <x v="14"/>
    <d v="2026-03-13T16:15:37"/>
  </r>
  <r>
    <n v="119"/>
    <s v="Caroline"/>
    <s v="Vance"/>
    <n v="64"/>
    <x v="0"/>
    <x v="3"/>
    <x v="10"/>
    <d v="2026-03-13T16:16:06"/>
  </r>
  <r>
    <n v="120"/>
    <s v="Tracey"/>
    <s v="Brown"/>
    <n v="41"/>
    <x v="0"/>
    <x v="4"/>
    <x v="3"/>
    <d v="2026-03-13T16:16:44"/>
  </r>
  <r>
    <n v="121"/>
    <s v="Stephen"/>
    <s v="Bennett"/>
    <n v="63"/>
    <x v="2"/>
    <x v="6"/>
    <x v="18"/>
    <d v="2026-03-13T16:17:36"/>
  </r>
  <r>
    <n v="122"/>
    <s v="Lauren"/>
    <s v="Parks"/>
    <n v="42"/>
    <x v="2"/>
    <x v="6"/>
    <x v="3"/>
    <d v="2026-03-13T16:17:48"/>
  </r>
  <r>
    <n v="123"/>
    <s v="Joel"/>
    <s v="Patton"/>
    <n v="60"/>
    <x v="1"/>
    <x v="0"/>
    <x v="9"/>
    <d v="2026-03-13T16:18:47"/>
  </r>
  <r>
    <n v="124"/>
    <s v="Scott"/>
    <s v="Garcia"/>
    <n v="62"/>
    <x v="1"/>
    <x v="3"/>
    <x v="0"/>
    <d v="2026-03-13T16:19:18"/>
  </r>
  <r>
    <n v="125"/>
    <s v="Mary"/>
    <s v="Mullins"/>
    <n v="49"/>
    <x v="2"/>
    <x v="6"/>
    <x v="10"/>
    <d v="2026-03-13T16:19:46"/>
  </r>
  <r>
    <n v="126"/>
    <s v="Justin"/>
    <s v="Murray"/>
    <n v="36"/>
    <x v="2"/>
    <x v="4"/>
    <x v="13"/>
    <d v="2026-03-13T16:20:16"/>
  </r>
  <r>
    <n v="127"/>
    <s v="Catherine"/>
    <s v="Fuller"/>
    <n v="38"/>
    <x v="1"/>
    <x v="1"/>
    <x v="2"/>
    <d v="2026-03-13T16:20:48"/>
  </r>
  <r>
    <n v="128"/>
    <s v="Beverly"/>
    <s v="Lopez"/>
    <n v="49"/>
    <x v="2"/>
    <x v="4"/>
    <x v="8"/>
    <d v="2026-03-13T16:22:28"/>
  </r>
  <r>
    <n v="129"/>
    <s v="Richard"/>
    <s v="Dyer"/>
    <n v="58"/>
    <x v="2"/>
    <x v="5"/>
    <x v="14"/>
    <d v="2026-03-13T16:22:59"/>
  </r>
  <r>
    <n v="130"/>
    <s v="Samuel"/>
    <s v="Lowe"/>
    <n v="63"/>
    <x v="0"/>
    <x v="6"/>
    <x v="10"/>
    <d v="2026-03-13T16:23:57"/>
  </r>
  <r>
    <n v="131"/>
    <s v="Jodi"/>
    <s v="Lane"/>
    <n v="70"/>
    <x v="2"/>
    <x v="1"/>
    <x v="4"/>
    <d v="2026-03-13T16:24:41"/>
  </r>
  <r>
    <n v="132"/>
    <s v="Michael"/>
    <s v="Smith"/>
    <n v="21"/>
    <x v="0"/>
    <x v="2"/>
    <x v="2"/>
    <d v="2026-03-13T16:25:05"/>
  </r>
  <r>
    <n v="133"/>
    <s v="Tyrone"/>
    <s v="Young"/>
    <n v="41"/>
    <x v="2"/>
    <x v="3"/>
    <x v="16"/>
    <d v="2026-03-13T16:25:27"/>
  </r>
  <r>
    <n v="134"/>
    <s v="Steven"/>
    <s v="Chang"/>
    <n v="24"/>
    <x v="0"/>
    <x v="0"/>
    <x v="9"/>
    <d v="2026-03-13T16:26:06"/>
  </r>
  <r>
    <n v="135"/>
    <s v="Donna"/>
    <s v="Prince"/>
    <n v="25"/>
    <x v="2"/>
    <x v="2"/>
    <x v="8"/>
    <d v="2026-03-13T16:26:16"/>
  </r>
  <r>
    <n v="136"/>
    <s v="Joseph"/>
    <s v="Livingston"/>
    <n v="20"/>
    <x v="2"/>
    <x v="4"/>
    <x v="17"/>
    <d v="2026-03-13T16:26:37"/>
  </r>
  <r>
    <n v="137"/>
    <s v="Mitchell"/>
    <s v="Adams"/>
    <n v="22"/>
    <x v="0"/>
    <x v="1"/>
    <x v="11"/>
    <d v="2026-03-13T16:27:11"/>
  </r>
  <r>
    <n v="138"/>
    <s v="Travis"/>
    <s v="Jones"/>
    <n v="32"/>
    <x v="2"/>
    <x v="2"/>
    <x v="10"/>
    <d v="2026-03-13T16:27:27"/>
  </r>
  <r>
    <n v="139"/>
    <s v="Daniel"/>
    <s v="Orozco"/>
    <n v="50"/>
    <x v="1"/>
    <x v="0"/>
    <x v="10"/>
    <d v="2026-03-13T16:28:25"/>
  </r>
  <r>
    <n v="140"/>
    <s v="Sarah"/>
    <s v="Joseph"/>
    <n v="18"/>
    <x v="0"/>
    <x v="1"/>
    <x v="19"/>
    <d v="2026-03-13T16:29:16"/>
  </r>
  <r>
    <n v="141"/>
    <s v="Rebecca"/>
    <s v="Huff"/>
    <n v="61"/>
    <x v="2"/>
    <x v="3"/>
    <x v="18"/>
    <d v="2026-03-13T16:30:10"/>
  </r>
  <r>
    <n v="142"/>
    <s v="John"/>
    <s v="Hall"/>
    <n v="24"/>
    <x v="1"/>
    <x v="3"/>
    <x v="12"/>
    <d v="2026-03-13T16:31:04"/>
  </r>
  <r>
    <n v="143"/>
    <s v="Christopher"/>
    <s v="Johnson"/>
    <n v="47"/>
    <x v="0"/>
    <x v="3"/>
    <x v="13"/>
    <d v="2026-03-13T16:31:42"/>
  </r>
  <r>
    <n v="144"/>
    <s v="Martha"/>
    <s v="Holder"/>
    <n v="40"/>
    <x v="1"/>
    <x v="4"/>
    <x v="1"/>
    <d v="2026-03-13T17:47:43"/>
  </r>
  <r>
    <n v="145"/>
    <s v="Daniel"/>
    <s v="Anderson"/>
    <n v="23"/>
    <x v="2"/>
    <x v="2"/>
    <x v="19"/>
    <d v="2026-03-13T17:48:20"/>
  </r>
  <r>
    <n v="146"/>
    <s v="Julie"/>
    <s v="Davis"/>
    <n v="42"/>
    <x v="0"/>
    <x v="3"/>
    <x v="0"/>
    <d v="2026-03-13T17:49:15"/>
  </r>
  <r>
    <n v="147"/>
    <s v="Rebecca"/>
    <s v="Durham"/>
    <n v="34"/>
    <x v="1"/>
    <x v="4"/>
    <x v="13"/>
    <d v="2026-03-13T17:50:14"/>
  </r>
  <r>
    <n v="148"/>
    <s v="Denise"/>
    <s v="Stephens"/>
    <n v="69"/>
    <x v="2"/>
    <x v="1"/>
    <x v="4"/>
    <d v="2026-03-13T17:50:36"/>
  </r>
  <r>
    <n v="149"/>
    <s v="Victoria"/>
    <s v="Saunders"/>
    <n v="62"/>
    <x v="2"/>
    <x v="2"/>
    <x v="1"/>
    <d v="2026-03-13T17:50:51"/>
  </r>
  <r>
    <n v="150"/>
    <s v="Carol"/>
    <s v="Gilmore"/>
    <n v="67"/>
    <x v="2"/>
    <x v="3"/>
    <x v="4"/>
    <d v="2026-03-13T17:51:03"/>
  </r>
  <r>
    <n v="151"/>
    <s v="Kristy"/>
    <s v="Evans"/>
    <n v="40"/>
    <x v="1"/>
    <x v="5"/>
    <x v="8"/>
    <d v="2026-03-13T17:51:57"/>
  </r>
  <r>
    <n v="152"/>
    <s v="Karen"/>
    <s v="Sandoval"/>
    <n v="47"/>
    <x v="2"/>
    <x v="2"/>
    <x v="18"/>
    <d v="2026-03-13T17:52:12"/>
  </r>
  <r>
    <n v="153"/>
    <s v="Whitney"/>
    <s v="Buckley"/>
    <n v="57"/>
    <x v="0"/>
    <x v="4"/>
    <x v="17"/>
    <d v="2026-03-13T17:53:07"/>
  </r>
  <r>
    <n v="154"/>
    <s v="Mary"/>
    <s v="Mcgee"/>
    <n v="22"/>
    <x v="0"/>
    <x v="0"/>
    <x v="14"/>
    <d v="2026-03-13T17:53:28"/>
  </r>
  <r>
    <n v="155"/>
    <s v="Julie"/>
    <s v="Carpenter"/>
    <n v="57"/>
    <x v="0"/>
    <x v="2"/>
    <x v="17"/>
    <d v="2026-03-13T17:53:39"/>
  </r>
  <r>
    <n v="156"/>
    <s v="Angela"/>
    <s v="Dean"/>
    <n v="43"/>
    <x v="0"/>
    <x v="3"/>
    <x v="15"/>
    <d v="2026-03-13T17:54:20"/>
  </r>
  <r>
    <n v="157"/>
    <s v="Ricardo"/>
    <s v="Whitaker"/>
    <n v="63"/>
    <x v="2"/>
    <x v="5"/>
    <x v="0"/>
    <d v="2026-03-13T17:55:05"/>
  </r>
  <r>
    <n v="158"/>
    <s v="Adam"/>
    <s v="Cortez"/>
    <n v="21"/>
    <x v="1"/>
    <x v="6"/>
    <x v="14"/>
    <d v="2026-03-13T17:55:21"/>
  </r>
  <r>
    <n v="159"/>
    <s v="Kristi"/>
    <s v="Vasquez"/>
    <n v="20"/>
    <x v="2"/>
    <x v="1"/>
    <x v="15"/>
    <d v="2026-03-13T17:55:48"/>
  </r>
  <r>
    <n v="160"/>
    <s v="Dakota"/>
    <s v="Avery"/>
    <n v="31"/>
    <x v="2"/>
    <x v="4"/>
    <x v="9"/>
    <d v="2026-03-13T17:56:00"/>
  </r>
  <r>
    <n v="161"/>
    <s v="Douglas"/>
    <s v="Rush"/>
    <n v="36"/>
    <x v="2"/>
    <x v="3"/>
    <x v="13"/>
    <d v="2026-03-13T17:56:40"/>
  </r>
  <r>
    <n v="162"/>
    <s v="Monica"/>
    <s v="West"/>
    <n v="23"/>
    <x v="0"/>
    <x v="4"/>
    <x v="0"/>
    <d v="2026-03-13T17:57:02"/>
  </r>
  <r>
    <n v="163"/>
    <s v="Patrick"/>
    <s v="Ellis"/>
    <n v="42"/>
    <x v="2"/>
    <x v="1"/>
    <x v="0"/>
    <d v="2026-03-13T17:57:34"/>
  </r>
  <r>
    <n v="164"/>
    <s v="Mark"/>
    <s v="Garcia"/>
    <n v="22"/>
    <x v="0"/>
    <x v="4"/>
    <x v="5"/>
    <d v="2026-03-13T17:57:59"/>
  </r>
  <r>
    <n v="165"/>
    <s v="Thomas"/>
    <s v="Thomas"/>
    <n v="49"/>
    <x v="1"/>
    <x v="4"/>
    <x v="9"/>
    <d v="2026-03-13T17:58:54"/>
  </r>
  <r>
    <n v="166"/>
    <s v="Robert"/>
    <s v="Stewart"/>
    <n v="41"/>
    <x v="0"/>
    <x v="2"/>
    <x v="15"/>
    <d v="2026-03-13T17:59:36"/>
  </r>
  <r>
    <n v="167"/>
    <s v="Monica"/>
    <s v="Parks"/>
    <n v="38"/>
    <x v="0"/>
    <x v="3"/>
    <x v="8"/>
    <d v="2026-03-13T18:00:32"/>
  </r>
  <r>
    <n v="168"/>
    <s v="Karen"/>
    <s v="Riley"/>
    <n v="39"/>
    <x v="0"/>
    <x v="5"/>
    <x v="7"/>
    <d v="2026-03-13T18:00:54"/>
  </r>
  <r>
    <n v="169"/>
    <s v="Brittany"/>
    <s v="Gibbs"/>
    <n v="61"/>
    <x v="2"/>
    <x v="5"/>
    <x v="2"/>
    <d v="2026-03-13T18:01:06"/>
  </r>
  <r>
    <n v="170"/>
    <s v="Kevin"/>
    <s v="Caldwell"/>
    <n v="25"/>
    <x v="2"/>
    <x v="6"/>
    <x v="8"/>
    <d v="2026-03-13T18:01:57"/>
  </r>
  <r>
    <n v="171"/>
    <s v="Rebecca"/>
    <s v="Preston"/>
    <n v="41"/>
    <x v="1"/>
    <x v="3"/>
    <x v="19"/>
    <d v="2026-03-13T18:02:32"/>
  </r>
  <r>
    <n v="172"/>
    <s v="Veronica"/>
    <s v="Watson"/>
    <n v="61"/>
    <x v="0"/>
    <x v="5"/>
    <x v="16"/>
    <d v="2026-03-13T18:03:10"/>
  </r>
  <r>
    <n v="173"/>
    <s v="Nicole"/>
    <s v="Robles"/>
    <n v="40"/>
    <x v="2"/>
    <x v="5"/>
    <x v="1"/>
    <d v="2026-03-13T18:03:31"/>
  </r>
  <r>
    <n v="174"/>
    <s v="James"/>
    <s v="Flores"/>
    <n v="28"/>
    <x v="0"/>
    <x v="5"/>
    <x v="16"/>
    <d v="2026-03-13T18:03:54"/>
  </r>
  <r>
    <n v="175"/>
    <s v="Jennifer"/>
    <s v="Hawkins"/>
    <n v="55"/>
    <x v="2"/>
    <x v="2"/>
    <x v="15"/>
    <d v="2026-03-13T18:04:09"/>
  </r>
  <r>
    <n v="176"/>
    <s v="Teresa"/>
    <s v="Little"/>
    <n v="37"/>
    <x v="0"/>
    <x v="0"/>
    <x v="0"/>
    <d v="2026-03-13T18:04:56"/>
  </r>
  <r>
    <n v="177"/>
    <s v="Patrick"/>
    <s v="Mann"/>
    <n v="21"/>
    <x v="2"/>
    <x v="1"/>
    <x v="2"/>
    <d v="2026-03-13T18:05:18"/>
  </r>
  <r>
    <n v="178"/>
    <s v="Hailey"/>
    <s v="Randall"/>
    <n v="67"/>
    <x v="2"/>
    <x v="0"/>
    <x v="9"/>
    <d v="2026-03-13T18:06:18"/>
  </r>
  <r>
    <n v="179"/>
    <s v="Lisa"/>
    <s v="Martinez"/>
    <n v="67"/>
    <x v="1"/>
    <x v="1"/>
    <x v="18"/>
    <d v="2026-03-13T18:07:06"/>
  </r>
  <r>
    <n v="180"/>
    <s v="Joshua"/>
    <s v="Ray"/>
    <n v="38"/>
    <x v="2"/>
    <x v="3"/>
    <x v="1"/>
    <d v="2026-03-13T18:07:31"/>
  </r>
  <r>
    <n v="181"/>
    <s v="Dustin"/>
    <s v="Brown"/>
    <n v="53"/>
    <x v="0"/>
    <x v="5"/>
    <x v="18"/>
    <d v="2026-03-13T18:08:11"/>
  </r>
  <r>
    <n v="182"/>
    <s v="Raymond"/>
    <s v="Brown"/>
    <n v="63"/>
    <x v="1"/>
    <x v="6"/>
    <x v="16"/>
    <d v="2026-03-13T18:08:49"/>
  </r>
  <r>
    <n v="183"/>
    <s v="Patrick"/>
    <s v="Rosales"/>
    <n v="49"/>
    <x v="1"/>
    <x v="2"/>
    <x v="7"/>
    <d v="2026-03-13T18:09:44"/>
  </r>
  <r>
    <n v="184"/>
    <s v="Amy"/>
    <s v="Guerra"/>
    <n v="40"/>
    <x v="1"/>
    <x v="6"/>
    <x v="8"/>
    <d v="2026-03-13T18:10:14"/>
  </r>
  <r>
    <n v="185"/>
    <s v="Christina"/>
    <s v="Johnson"/>
    <n v="67"/>
    <x v="2"/>
    <x v="2"/>
    <x v="16"/>
    <d v="2026-03-13T18:10:42"/>
  </r>
  <r>
    <n v="186"/>
    <s v="Daniel"/>
    <s v="Grant"/>
    <n v="62"/>
    <x v="0"/>
    <x v="2"/>
    <x v="16"/>
    <d v="2026-03-13T18:11:29"/>
  </r>
  <r>
    <n v="187"/>
    <s v="Raven"/>
    <s v="Joseph"/>
    <n v="61"/>
    <x v="2"/>
    <x v="4"/>
    <x v="19"/>
    <d v="2026-03-13T18:12:06"/>
  </r>
  <r>
    <n v="188"/>
    <s v="Erica"/>
    <s v="Camacho"/>
    <n v="42"/>
    <x v="2"/>
    <x v="4"/>
    <x v="19"/>
    <d v="2026-03-13T18:12:44"/>
  </r>
  <r>
    <n v="189"/>
    <s v="William"/>
    <s v="Baker"/>
    <n v="43"/>
    <x v="0"/>
    <x v="1"/>
    <x v="4"/>
    <d v="2026-03-13T18:13:44"/>
  </r>
  <r>
    <n v="190"/>
    <s v="Raymond"/>
    <s v="Savage"/>
    <n v="31"/>
    <x v="1"/>
    <x v="5"/>
    <x v="18"/>
    <d v="2026-03-13T18:14:43"/>
  </r>
  <r>
    <n v="191"/>
    <s v="Carol"/>
    <s v="Chen"/>
    <n v="33"/>
    <x v="0"/>
    <x v="3"/>
    <x v="14"/>
    <d v="2026-03-13T18:14:55"/>
  </r>
  <r>
    <n v="192"/>
    <s v="Andrew"/>
    <s v="Deleon"/>
    <n v="61"/>
    <x v="2"/>
    <x v="3"/>
    <x v="11"/>
    <d v="2026-03-13T18:15:33"/>
  </r>
  <r>
    <n v="193"/>
    <s v="Robert"/>
    <s v="Tran"/>
    <n v="65"/>
    <x v="1"/>
    <x v="2"/>
    <x v="9"/>
    <d v="2026-03-13T18:16:33"/>
  </r>
  <r>
    <n v="194"/>
    <s v="Lauren"/>
    <s v="Arellano"/>
    <n v="60"/>
    <x v="2"/>
    <x v="0"/>
    <x v="12"/>
    <d v="2026-03-13T18:16:53"/>
  </r>
  <r>
    <n v="195"/>
    <s v="Daniel"/>
    <s v="Ramirez"/>
    <n v="65"/>
    <x v="1"/>
    <x v="1"/>
    <x v="1"/>
    <d v="2026-03-13T18:17:12"/>
  </r>
  <r>
    <n v="196"/>
    <s v="Dustin"/>
    <s v="Phillips"/>
    <n v="59"/>
    <x v="0"/>
    <x v="2"/>
    <x v="10"/>
    <d v="2026-03-13T18:18:06"/>
  </r>
  <r>
    <n v="197"/>
    <s v="Patty"/>
    <s v="Howard"/>
    <n v="64"/>
    <x v="0"/>
    <x v="6"/>
    <x v="11"/>
    <d v="2026-03-13T18:18:42"/>
  </r>
  <r>
    <n v="198"/>
    <s v="Charles"/>
    <s v="Farrell"/>
    <n v="65"/>
    <x v="0"/>
    <x v="3"/>
    <x v="14"/>
    <d v="2026-03-13T18:19:40"/>
  </r>
  <r>
    <n v="199"/>
    <s v="Rebecca"/>
    <s v="Taylor"/>
    <n v="59"/>
    <x v="1"/>
    <x v="6"/>
    <x v="19"/>
    <d v="2026-03-13T18:19:58"/>
  </r>
  <r>
    <n v="200"/>
    <s v="Julie"/>
    <s v="Wiley"/>
    <n v="41"/>
    <x v="1"/>
    <x v="5"/>
    <x v="5"/>
    <d v="2026-03-13T18:20:52"/>
  </r>
  <r>
    <n v="208"/>
    <s v="Michael"/>
    <s v="Gomez"/>
    <n v="67"/>
    <x v="1"/>
    <x v="6"/>
    <x v="16"/>
    <d v="2026-03-14T15:47:56"/>
  </r>
  <r>
    <n v="209"/>
    <s v="Jeffrey"/>
    <s v="Moreno"/>
    <n v="35"/>
    <x v="1"/>
    <x v="6"/>
    <x v="17"/>
    <d v="2026-03-14T15:48:19"/>
  </r>
  <r>
    <n v="210"/>
    <s v="Calvin"/>
    <s v="Harris"/>
    <n v="20"/>
    <x v="0"/>
    <x v="4"/>
    <x v="15"/>
    <d v="2026-03-14T15:48:35"/>
  </r>
  <r>
    <n v="211"/>
    <s v="Tanya"/>
    <s v="Lee"/>
    <n v="37"/>
    <x v="1"/>
    <x v="5"/>
    <x v="0"/>
    <d v="2026-03-14T15:48:51"/>
  </r>
  <r>
    <n v="212"/>
    <s v="James"/>
    <s v="Brown"/>
    <n v="53"/>
    <x v="2"/>
    <x v="6"/>
    <x v="1"/>
    <d v="2026-03-14T15:49:43"/>
  </r>
  <r>
    <n v="213"/>
    <s v="Jason"/>
    <s v="Mitchell"/>
    <n v="55"/>
    <x v="1"/>
    <x v="1"/>
    <x v="13"/>
    <d v="2026-03-14T15:50:43"/>
  </r>
  <r>
    <n v="214"/>
    <s v="Jodi"/>
    <s v="Davis"/>
    <n v="46"/>
    <x v="1"/>
    <x v="0"/>
    <x v="15"/>
    <d v="2026-03-14T15:51:17"/>
  </r>
  <r>
    <n v="215"/>
    <s v="Reginald"/>
    <s v="Johnson"/>
    <n v="52"/>
    <x v="1"/>
    <x v="1"/>
    <x v="12"/>
    <d v="2026-03-14T15:52:08"/>
  </r>
  <r>
    <n v="216"/>
    <s v="Holly"/>
    <s v="Daniels"/>
    <n v="40"/>
    <x v="2"/>
    <x v="2"/>
    <x v="14"/>
    <d v="2026-03-14T15:52:22"/>
  </r>
  <r>
    <n v="217"/>
    <s v="Mary"/>
    <s v="Mathews"/>
    <n v="28"/>
    <x v="2"/>
    <x v="4"/>
    <x v="10"/>
    <d v="2026-03-14T15:53:01"/>
  </r>
  <r>
    <n v="218"/>
    <s v="Tabitha"/>
    <s v="Harmon"/>
    <n v="42"/>
    <x v="1"/>
    <x v="0"/>
    <x v="6"/>
    <d v="2026-03-14T15:53:45"/>
  </r>
  <r>
    <n v="219"/>
    <s v="Karen"/>
    <s v="Williams"/>
    <n v="26"/>
    <x v="0"/>
    <x v="1"/>
    <x v="11"/>
    <d v="2026-03-14T15:54:19"/>
  </r>
  <r>
    <n v="220"/>
    <s v="Linda"/>
    <s v="Lee"/>
    <n v="56"/>
    <x v="0"/>
    <x v="5"/>
    <x v="7"/>
    <d v="2026-03-14T15:55:06"/>
  </r>
  <r>
    <n v="221"/>
    <s v="Brett"/>
    <s v="Miller"/>
    <n v="48"/>
    <x v="0"/>
    <x v="5"/>
    <x v="11"/>
    <d v="2026-03-14T15:56:03"/>
  </r>
  <r>
    <n v="222"/>
    <s v="Harry"/>
    <s v="Rodriguez"/>
    <n v="35"/>
    <x v="2"/>
    <x v="3"/>
    <x v="0"/>
    <d v="2026-03-14T15:56:35"/>
  </r>
  <r>
    <n v="223"/>
    <s v="Kendra"/>
    <s v="Evans"/>
    <n v="46"/>
    <x v="0"/>
    <x v="1"/>
    <x v="13"/>
    <d v="2026-03-14T15:56:45"/>
  </r>
  <r>
    <n v="224"/>
    <s v="Laurie"/>
    <s v="Garcia"/>
    <n v="65"/>
    <x v="2"/>
    <x v="0"/>
    <x v="14"/>
    <d v="2026-03-14T15:57:21"/>
  </r>
  <r>
    <n v="225"/>
    <s v="Jorge"/>
    <s v="Maldonado"/>
    <n v="35"/>
    <x v="1"/>
    <x v="1"/>
    <x v="7"/>
    <d v="2026-03-14T15:58:13"/>
  </r>
  <r>
    <n v="226"/>
    <s v="Matthew"/>
    <s v="Lopez"/>
    <n v="23"/>
    <x v="2"/>
    <x v="6"/>
    <x v="17"/>
    <d v="2026-03-14T15:59:08"/>
  </r>
  <r>
    <n v="227"/>
    <s v="Miranda"/>
    <s v="Brown"/>
    <n v="59"/>
    <x v="2"/>
    <x v="1"/>
    <x v="18"/>
    <d v="2026-03-14T16:00:04"/>
  </r>
  <r>
    <n v="228"/>
    <s v="Jennifer"/>
    <s v="Sims"/>
    <n v="27"/>
    <x v="1"/>
    <x v="4"/>
    <x v="17"/>
    <d v="2026-03-14T16:00:57"/>
  </r>
  <r>
    <n v="229"/>
    <s v="Rachel"/>
    <s v="Wilkinson"/>
    <n v="21"/>
    <x v="2"/>
    <x v="3"/>
    <x v="17"/>
    <d v="2026-03-14T16:01:08"/>
  </r>
  <r>
    <n v="230"/>
    <s v="Kristin"/>
    <s v="Parrish"/>
    <n v="22"/>
    <x v="1"/>
    <x v="0"/>
    <x v="7"/>
    <d v="2026-03-14T16:01:48"/>
  </r>
  <r>
    <n v="231"/>
    <s v="Jack"/>
    <s v="Huynh"/>
    <n v="19"/>
    <x v="1"/>
    <x v="6"/>
    <x v="17"/>
    <d v="2026-03-14T16:02:09"/>
  </r>
  <r>
    <n v="232"/>
    <s v="Gregory"/>
    <s v="Gray"/>
    <n v="40"/>
    <x v="1"/>
    <x v="0"/>
    <x v="6"/>
    <d v="2026-03-14T16:03:08"/>
  </r>
  <r>
    <n v="233"/>
    <s v="James"/>
    <s v="Stanley"/>
    <n v="38"/>
    <x v="2"/>
    <x v="5"/>
    <x v="17"/>
    <d v="2026-03-14T16:03:24"/>
  </r>
  <r>
    <n v="234"/>
    <s v="Larry"/>
    <s v="Koch"/>
    <n v="18"/>
    <x v="2"/>
    <x v="1"/>
    <x v="5"/>
    <d v="2026-03-14T16:04:16"/>
  </r>
  <r>
    <n v="235"/>
    <s v="Joshua"/>
    <s v="Nguyen"/>
    <n v="43"/>
    <x v="1"/>
    <x v="3"/>
    <x v="19"/>
    <d v="2026-03-14T16:04:44"/>
  </r>
  <r>
    <n v="236"/>
    <s v="Deborah"/>
    <s v="Jackson"/>
    <n v="62"/>
    <x v="0"/>
    <x v="1"/>
    <x v="3"/>
    <d v="2026-03-14T16:05:25"/>
  </r>
  <r>
    <n v="237"/>
    <s v="Zachary"/>
    <s v="Taylor"/>
    <n v="66"/>
    <x v="0"/>
    <x v="0"/>
    <x v="9"/>
    <d v="2026-03-14T16:06:19"/>
  </r>
  <r>
    <n v="238"/>
    <s v="John"/>
    <s v="Gonzalez"/>
    <n v="57"/>
    <x v="2"/>
    <x v="1"/>
    <x v="16"/>
    <d v="2026-03-14T16:07:13"/>
  </r>
  <r>
    <n v="239"/>
    <s v="Anthony"/>
    <s v="Stone"/>
    <n v="53"/>
    <x v="1"/>
    <x v="5"/>
    <x v="14"/>
    <d v="2026-03-14T16:08:02"/>
  </r>
  <r>
    <n v="240"/>
    <s v="Jesus"/>
    <s v="Weiss"/>
    <n v="67"/>
    <x v="0"/>
    <x v="5"/>
    <x v="17"/>
    <d v="2026-03-14T16:08:15"/>
  </r>
  <r>
    <n v="241"/>
    <s v="Caitlin"/>
    <s v="Schultz"/>
    <n v="44"/>
    <x v="2"/>
    <x v="4"/>
    <x v="1"/>
    <d v="2026-03-14T16:08:37"/>
  </r>
  <r>
    <n v="242"/>
    <s v="Chad"/>
    <s v="Bonilla"/>
    <n v="20"/>
    <x v="2"/>
    <x v="5"/>
    <x v="10"/>
    <d v="2026-03-14T16:08:55"/>
  </r>
  <r>
    <n v="243"/>
    <s v="Ian"/>
    <s v="Schultz"/>
    <n v="70"/>
    <x v="0"/>
    <x v="5"/>
    <x v="4"/>
    <d v="2026-03-14T16:09:45"/>
  </r>
  <r>
    <n v="244"/>
    <s v="Jacqueline"/>
    <s v="Dunn"/>
    <n v="65"/>
    <x v="0"/>
    <x v="2"/>
    <x v="9"/>
    <d v="2026-03-14T16:10:40"/>
  </r>
  <r>
    <n v="245"/>
    <s v="Steve"/>
    <s v="Taylor"/>
    <n v="48"/>
    <x v="2"/>
    <x v="3"/>
    <x v="13"/>
    <d v="2026-03-14T16:11:00"/>
  </r>
  <r>
    <n v="246"/>
    <s v="Emily"/>
    <s v="Wright"/>
    <n v="41"/>
    <x v="2"/>
    <x v="6"/>
    <x v="14"/>
    <d v="2026-03-14T16:11:44"/>
  </r>
  <r>
    <n v="247"/>
    <s v="Jeffrey"/>
    <s v="Rollins"/>
    <n v="23"/>
    <x v="0"/>
    <x v="6"/>
    <x v="18"/>
    <d v="2026-03-14T16:12:25"/>
  </r>
  <r>
    <n v="248"/>
    <s v="Edward"/>
    <s v="Clark"/>
    <n v="51"/>
    <x v="0"/>
    <x v="4"/>
    <x v="8"/>
    <d v="2026-03-14T16:12:35"/>
  </r>
  <r>
    <n v="249"/>
    <s v="Matthew"/>
    <s v="Gillespie"/>
    <n v="34"/>
    <x v="0"/>
    <x v="1"/>
    <x v="18"/>
    <d v="2026-03-14T16:12:50"/>
  </r>
  <r>
    <n v="250"/>
    <s v="Jeffrey"/>
    <s v="Chavez"/>
    <n v="29"/>
    <x v="1"/>
    <x v="5"/>
    <x v="16"/>
    <d v="2026-03-14T16:13:19"/>
  </r>
  <r>
    <n v="251"/>
    <s v="Anthony"/>
    <s v="Smith"/>
    <n v="62"/>
    <x v="1"/>
    <x v="0"/>
    <x v="6"/>
    <d v="2026-03-14T16:14:07"/>
  </r>
  <r>
    <n v="252"/>
    <s v="Alexandria"/>
    <s v="Vance"/>
    <n v="70"/>
    <x v="0"/>
    <x v="4"/>
    <x v="5"/>
    <d v="2026-03-14T16:15:01"/>
  </r>
  <r>
    <n v="253"/>
    <s v="Tracy"/>
    <s v="Perry"/>
    <n v="48"/>
    <x v="1"/>
    <x v="3"/>
    <x v="18"/>
    <d v="2026-03-14T16:15:42"/>
  </r>
  <r>
    <n v="254"/>
    <s v="John"/>
    <s v="Nash"/>
    <n v="18"/>
    <x v="0"/>
    <x v="0"/>
    <x v="19"/>
    <d v="2026-03-14T16:16:40"/>
  </r>
  <r>
    <n v="255"/>
    <s v="Matthew"/>
    <s v="Wagner"/>
    <n v="42"/>
    <x v="2"/>
    <x v="3"/>
    <x v="1"/>
    <d v="2026-03-14T16:17:06"/>
  </r>
  <r>
    <n v="256"/>
    <s v="Craig"/>
    <s v="Francis"/>
    <n v="48"/>
    <x v="2"/>
    <x v="6"/>
    <x v="18"/>
    <d v="2026-03-14T16:17:37"/>
  </r>
  <r>
    <n v="257"/>
    <s v="Marvin"/>
    <s v="Winters"/>
    <n v="35"/>
    <x v="1"/>
    <x v="1"/>
    <x v="19"/>
    <d v="2026-03-14T16:18:23"/>
  </r>
  <r>
    <n v="258"/>
    <s v="Tricia"/>
    <s v="Jenkins"/>
    <n v="32"/>
    <x v="0"/>
    <x v="6"/>
    <x v="7"/>
    <d v="2026-03-14T16:19:11"/>
  </r>
  <r>
    <n v="259"/>
    <s v="Debbie"/>
    <s v="French"/>
    <n v="36"/>
    <x v="1"/>
    <x v="3"/>
    <x v="18"/>
    <d v="2026-03-14T16:19:38"/>
  </r>
  <r>
    <n v="260"/>
    <s v="Kristen"/>
    <s v="Peterson"/>
    <n v="20"/>
    <x v="2"/>
    <x v="3"/>
    <x v="9"/>
    <d v="2026-03-14T16:19:53"/>
  </r>
  <r>
    <n v="261"/>
    <s v="Christopher"/>
    <s v="Dixon"/>
    <n v="44"/>
    <x v="0"/>
    <x v="2"/>
    <x v="10"/>
    <d v="2026-03-14T16:20:30"/>
  </r>
  <r>
    <n v="262"/>
    <s v="Rachel"/>
    <s v="Fisher"/>
    <n v="49"/>
    <x v="2"/>
    <x v="0"/>
    <x v="10"/>
    <d v="2026-03-14T16:20:59"/>
  </r>
  <r>
    <n v="263"/>
    <s v="Kyle"/>
    <s v="Jenkins"/>
    <n v="38"/>
    <x v="1"/>
    <x v="2"/>
    <x v="0"/>
    <d v="2026-03-14T16:21:21"/>
  </r>
  <r>
    <n v="264"/>
    <s v="Megan"/>
    <s v="Johnson"/>
    <n v="50"/>
    <x v="2"/>
    <x v="1"/>
    <x v="6"/>
    <d v="2026-03-14T16:22:08"/>
  </r>
  <r>
    <n v="265"/>
    <s v="Ann"/>
    <s v="Hicks"/>
    <n v="23"/>
    <x v="0"/>
    <x v="4"/>
    <x v="4"/>
    <d v="2026-03-14T16:23:00"/>
  </r>
  <r>
    <n v="266"/>
    <s v="Vincent"/>
    <s v="Mcdaniel"/>
    <n v="61"/>
    <x v="1"/>
    <x v="2"/>
    <x v="9"/>
    <d v="2026-03-14T16:23:11"/>
  </r>
  <r>
    <n v="267"/>
    <s v="Yvonne"/>
    <s v="Odonnell"/>
    <n v="40"/>
    <x v="2"/>
    <x v="4"/>
    <x v="8"/>
    <d v="2026-03-14T16:23:36"/>
  </r>
  <r>
    <n v="268"/>
    <s v="Justin"/>
    <s v="Mcmahon"/>
    <n v="21"/>
    <x v="0"/>
    <x v="6"/>
    <x v="16"/>
    <d v="2026-03-14T16:24:23"/>
  </r>
  <r>
    <n v="269"/>
    <s v="Shawn"/>
    <s v="Sparks"/>
    <n v="38"/>
    <x v="0"/>
    <x v="3"/>
    <x v="9"/>
    <d v="2026-03-14T16:24:50"/>
  </r>
  <r>
    <n v="270"/>
    <s v="Kenneth"/>
    <s v="Graves"/>
    <n v="63"/>
    <x v="0"/>
    <x v="2"/>
    <x v="16"/>
    <d v="2026-03-14T16:25:46"/>
  </r>
  <r>
    <n v="271"/>
    <s v="Anthony"/>
    <s v="Cannon"/>
    <n v="65"/>
    <x v="1"/>
    <x v="5"/>
    <x v="9"/>
    <d v="2026-03-14T16:26:05"/>
  </r>
  <r>
    <n v="272"/>
    <s v="Steven"/>
    <s v="Perkins"/>
    <n v="64"/>
    <x v="0"/>
    <x v="5"/>
    <x v="3"/>
    <d v="2026-03-14T16:26:35"/>
  </r>
  <r>
    <n v="273"/>
    <s v="Tammy"/>
    <s v="Heath"/>
    <n v="64"/>
    <x v="2"/>
    <x v="2"/>
    <x v="4"/>
    <d v="2026-03-14T16:27:21"/>
  </r>
  <r>
    <n v="274"/>
    <s v="Jeremy"/>
    <s v="Beck"/>
    <n v="31"/>
    <x v="0"/>
    <x v="0"/>
    <x v="6"/>
    <d v="2026-03-14T16:27:44"/>
  </r>
  <r>
    <n v="275"/>
    <s v="Alan"/>
    <s v="Alexander"/>
    <n v="25"/>
    <x v="0"/>
    <x v="6"/>
    <x v="14"/>
    <d v="2026-03-14T16:28:07"/>
  </r>
  <r>
    <n v="276"/>
    <s v="Elizabeth"/>
    <s v="Hernandez"/>
    <n v="61"/>
    <x v="1"/>
    <x v="1"/>
    <x v="9"/>
    <d v="2026-03-14T16:28:56"/>
  </r>
  <r>
    <n v="277"/>
    <s v="Paul"/>
    <s v="Wyatt"/>
    <n v="31"/>
    <x v="1"/>
    <x v="6"/>
    <x v="11"/>
    <d v="2026-03-14T16:29:27"/>
  </r>
  <r>
    <n v="278"/>
    <s v="Laura"/>
    <s v="Hall"/>
    <n v="34"/>
    <x v="1"/>
    <x v="6"/>
    <x v="19"/>
    <d v="2026-03-14T16:30:16"/>
  </r>
  <r>
    <n v="279"/>
    <s v="Richard"/>
    <s v="Walls"/>
    <n v="18"/>
    <x v="1"/>
    <x v="0"/>
    <x v="8"/>
    <d v="2026-03-14T16:30:54"/>
  </r>
  <r>
    <n v="280"/>
    <s v="Christopher"/>
    <s v="Jones"/>
    <n v="51"/>
    <x v="1"/>
    <x v="0"/>
    <x v="15"/>
    <d v="2026-03-14T16:31:34"/>
  </r>
  <r>
    <n v="281"/>
    <s v="Jill"/>
    <s v="Jones"/>
    <n v="39"/>
    <x v="1"/>
    <x v="1"/>
    <x v="3"/>
    <d v="2026-03-14T16:32:05"/>
  </r>
  <r>
    <n v="282"/>
    <s v="Jeffrey"/>
    <s v="Mccann"/>
    <n v="53"/>
    <x v="0"/>
    <x v="5"/>
    <x v="4"/>
    <d v="2026-03-14T16:32:30"/>
  </r>
  <r>
    <n v="283"/>
    <s v="William"/>
    <s v="Cole"/>
    <n v="25"/>
    <x v="1"/>
    <x v="3"/>
    <x v="8"/>
    <d v="2026-03-14T16:32:58"/>
  </r>
  <r>
    <n v="284"/>
    <s v="Lawrence"/>
    <s v="Collins"/>
    <n v="31"/>
    <x v="2"/>
    <x v="0"/>
    <x v="8"/>
    <d v="2026-03-14T16:33:42"/>
  </r>
  <r>
    <n v="285"/>
    <s v="Tiffany"/>
    <s v="Schultz"/>
    <n v="41"/>
    <x v="0"/>
    <x v="0"/>
    <x v="12"/>
    <d v="2026-03-14T16:33:58"/>
  </r>
  <r>
    <n v="286"/>
    <s v="Nathan"/>
    <s v="Morales"/>
    <n v="21"/>
    <x v="0"/>
    <x v="1"/>
    <x v="1"/>
    <d v="2026-03-14T16:34:48"/>
  </r>
  <r>
    <n v="287"/>
    <s v="Bobby"/>
    <s v="Wilson"/>
    <n v="28"/>
    <x v="2"/>
    <x v="1"/>
    <x v="8"/>
    <d v="2026-03-14T16:35:01"/>
  </r>
  <r>
    <n v="288"/>
    <s v="Shannon"/>
    <s v="Coleman"/>
    <n v="57"/>
    <x v="0"/>
    <x v="2"/>
    <x v="19"/>
    <d v="2026-03-14T16:35:31"/>
  </r>
  <r>
    <n v="289"/>
    <s v="Hannah"/>
    <s v="Dalton"/>
    <n v="29"/>
    <x v="1"/>
    <x v="0"/>
    <x v="17"/>
    <d v="2026-03-14T16:36:07"/>
  </r>
  <r>
    <n v="290"/>
    <s v="Matthew"/>
    <s v="Alvarado"/>
    <n v="25"/>
    <x v="0"/>
    <x v="6"/>
    <x v="17"/>
    <d v="2026-03-14T16:36:51"/>
  </r>
  <r>
    <n v="291"/>
    <s v="Jeremy"/>
    <s v="Smith"/>
    <n v="29"/>
    <x v="0"/>
    <x v="5"/>
    <x v="19"/>
    <d v="2026-03-14T16:37:05"/>
  </r>
  <r>
    <n v="292"/>
    <s v="Joshua"/>
    <s v="Ramos"/>
    <n v="29"/>
    <x v="1"/>
    <x v="3"/>
    <x v="2"/>
    <d v="2026-03-14T16:37:46"/>
  </r>
  <r>
    <n v="293"/>
    <s v="Rebecca"/>
    <s v="Serrano"/>
    <n v="38"/>
    <x v="2"/>
    <x v="4"/>
    <x v="11"/>
    <d v="2026-03-14T16:37:59"/>
  </r>
  <r>
    <n v="294"/>
    <s v="Thomas"/>
    <s v="Kirk"/>
    <n v="60"/>
    <x v="0"/>
    <x v="6"/>
    <x v="6"/>
    <d v="2026-03-14T16:38:43"/>
  </r>
  <r>
    <n v="295"/>
    <s v="Robin"/>
    <s v="Anderson"/>
    <n v="63"/>
    <x v="2"/>
    <x v="1"/>
    <x v="4"/>
    <d v="2026-03-14T16:38:57"/>
  </r>
  <r>
    <n v="296"/>
    <s v="Barbara"/>
    <s v="Sanders"/>
    <n v="24"/>
    <x v="2"/>
    <x v="1"/>
    <x v="4"/>
    <d v="2026-03-14T16:39:35"/>
  </r>
  <r>
    <n v="297"/>
    <s v="Wayne"/>
    <s v="Pope"/>
    <n v="25"/>
    <x v="1"/>
    <x v="0"/>
    <x v="8"/>
    <d v="2026-03-14T16:39:59"/>
  </r>
  <r>
    <n v="298"/>
    <s v="Bridget"/>
    <s v="Garcia"/>
    <n v="45"/>
    <x v="2"/>
    <x v="6"/>
    <x v="0"/>
    <d v="2026-03-14T16:40:33"/>
  </r>
  <r>
    <n v="299"/>
    <s v="Rebekah"/>
    <s v="Peterson"/>
    <n v="22"/>
    <x v="1"/>
    <x v="5"/>
    <x v="7"/>
    <d v="2026-03-14T16:41:01"/>
  </r>
  <r>
    <n v="300"/>
    <s v="Monica"/>
    <s v="Cline"/>
    <n v="39"/>
    <x v="0"/>
    <x v="0"/>
    <x v="9"/>
    <d v="2026-03-14T16:41:13"/>
  </r>
  <r>
    <n v="301"/>
    <s v="Ryan"/>
    <s v="Moore"/>
    <n v="19"/>
    <x v="1"/>
    <x v="4"/>
    <x v="4"/>
    <d v="2026-03-14T16:41:31"/>
  </r>
  <r>
    <n v="302"/>
    <s v="Lisa"/>
    <s v="Moran"/>
    <n v="69"/>
    <x v="0"/>
    <x v="6"/>
    <x v="8"/>
    <d v="2026-03-14T16:42:17"/>
  </r>
  <r>
    <n v="303"/>
    <s v="Tyler"/>
    <s v="Roberts"/>
    <n v="31"/>
    <x v="1"/>
    <x v="5"/>
    <x v="12"/>
    <d v="2026-03-14T16:42:43"/>
  </r>
  <r>
    <n v="304"/>
    <s v="Laura"/>
    <s v="Dunn"/>
    <n v="20"/>
    <x v="0"/>
    <x v="2"/>
    <x v="18"/>
    <d v="2026-03-14T16:43:16"/>
  </r>
  <r>
    <n v="305"/>
    <s v="Crystal"/>
    <s v="Alexander"/>
    <n v="43"/>
    <x v="0"/>
    <x v="5"/>
    <x v="5"/>
    <d v="2026-03-14T16:43:43"/>
  </r>
  <r>
    <n v="306"/>
    <s v="Michael"/>
    <s v="Brooks"/>
    <n v="55"/>
    <x v="1"/>
    <x v="3"/>
    <x v="4"/>
    <d v="2026-03-14T16:44:01"/>
  </r>
  <r>
    <n v="307"/>
    <s v="Jennifer"/>
    <s v="Silva"/>
    <n v="47"/>
    <x v="0"/>
    <x v="3"/>
    <x v="3"/>
    <d v="2026-03-14T16:44:24"/>
  </r>
  <r>
    <n v="308"/>
    <s v="Joseph"/>
    <s v="Castro"/>
    <n v="51"/>
    <x v="2"/>
    <x v="0"/>
    <x v="15"/>
    <d v="2026-03-15T18:15:22"/>
  </r>
  <r>
    <n v="309"/>
    <s v="Wayne"/>
    <s v="Sanchez"/>
    <n v="47"/>
    <x v="1"/>
    <x v="4"/>
    <x v="18"/>
    <d v="2026-03-15T18:15:36"/>
  </r>
  <r>
    <n v="310"/>
    <s v="Jennifer"/>
    <s v="Welch"/>
    <n v="44"/>
    <x v="2"/>
    <x v="5"/>
    <x v="8"/>
    <d v="2026-03-15T18:15:56"/>
  </r>
  <r>
    <n v="311"/>
    <s v="Rebecca"/>
    <s v="Melton"/>
    <n v="19"/>
    <x v="1"/>
    <x v="4"/>
    <x v="15"/>
    <d v="2026-03-15T18:16:52"/>
  </r>
  <r>
    <n v="312"/>
    <s v="James"/>
    <s v="Brown"/>
    <n v="65"/>
    <x v="2"/>
    <x v="4"/>
    <x v="8"/>
    <d v="2026-03-15T18:17:17"/>
  </r>
  <r>
    <n v="313"/>
    <s v="Kevin"/>
    <s v="Reynolds"/>
    <n v="28"/>
    <x v="1"/>
    <x v="5"/>
    <x v="0"/>
    <d v="2026-03-15T18:18:15"/>
  </r>
  <r>
    <n v="314"/>
    <s v="Joshua"/>
    <s v="Thompson"/>
    <n v="65"/>
    <x v="2"/>
    <x v="3"/>
    <x v="3"/>
    <d v="2026-03-15T18:18:36"/>
  </r>
  <r>
    <n v="315"/>
    <s v="Lindsey"/>
    <s v="Brock"/>
    <n v="51"/>
    <x v="1"/>
    <x v="1"/>
    <x v="10"/>
    <d v="2026-03-15T18:18:54"/>
  </r>
  <r>
    <n v="316"/>
    <s v="Stacey"/>
    <s v="Ali"/>
    <n v="66"/>
    <x v="1"/>
    <x v="2"/>
    <x v="3"/>
    <d v="2026-03-15T18:19:14"/>
  </r>
  <r>
    <n v="317"/>
    <s v="Michael"/>
    <s v="Hendrix"/>
    <n v="24"/>
    <x v="1"/>
    <x v="3"/>
    <x v="4"/>
    <d v="2026-03-15T18:19:49"/>
  </r>
  <r>
    <n v="318"/>
    <s v="Charles"/>
    <s v="Rodriguez"/>
    <n v="67"/>
    <x v="2"/>
    <x v="6"/>
    <x v="3"/>
    <d v="2026-03-15T18:20:34"/>
  </r>
  <r>
    <n v="319"/>
    <s v="Becky"/>
    <s v="Wilson"/>
    <n v="51"/>
    <x v="1"/>
    <x v="3"/>
    <x v="0"/>
    <d v="2026-03-15T18:21:20"/>
  </r>
  <r>
    <n v="320"/>
    <s v="Caitlyn"/>
    <s v="Brewer"/>
    <n v="58"/>
    <x v="0"/>
    <x v="5"/>
    <x v="9"/>
    <d v="2026-03-15T18:21:50"/>
  </r>
  <r>
    <n v="321"/>
    <s v="Tyler"/>
    <s v="Elliott"/>
    <n v="34"/>
    <x v="1"/>
    <x v="0"/>
    <x v="16"/>
    <d v="2026-03-15T18:22:26"/>
  </r>
  <r>
    <n v="322"/>
    <s v="Benjamin"/>
    <s v="Flores"/>
    <n v="26"/>
    <x v="1"/>
    <x v="4"/>
    <x v="15"/>
    <d v="2026-03-15T18:22:52"/>
  </r>
  <r>
    <n v="323"/>
    <s v="Steven"/>
    <s v="Clark"/>
    <n v="70"/>
    <x v="0"/>
    <x v="5"/>
    <x v="2"/>
    <d v="2026-03-15T18:23:27"/>
  </r>
  <r>
    <n v="324"/>
    <s v="Connie"/>
    <s v="Fry"/>
    <n v="37"/>
    <x v="1"/>
    <x v="6"/>
    <x v="13"/>
    <d v="2026-03-15T18:23:37"/>
  </r>
  <r>
    <n v="325"/>
    <s v="Melissa"/>
    <s v="Chapman"/>
    <n v="65"/>
    <x v="0"/>
    <x v="5"/>
    <x v="1"/>
    <d v="2026-03-15T18:24:31"/>
  </r>
  <r>
    <n v="326"/>
    <s v="Daniel"/>
    <s v="Carter"/>
    <n v="29"/>
    <x v="2"/>
    <x v="1"/>
    <x v="11"/>
    <d v="2026-03-15T18:25:29"/>
  </r>
  <r>
    <n v="327"/>
    <s v="Kristin"/>
    <s v="Richardson"/>
    <n v="44"/>
    <x v="2"/>
    <x v="3"/>
    <x v="6"/>
    <d v="2026-03-15T18:26:14"/>
  </r>
  <r>
    <n v="328"/>
    <s v="Benjamin"/>
    <s v="Smith"/>
    <n v="19"/>
    <x v="2"/>
    <x v="5"/>
    <x v="15"/>
    <d v="2026-03-15T18:26:31"/>
  </r>
  <r>
    <n v="329"/>
    <s v="Jordan"/>
    <s v="Baxter"/>
    <n v="53"/>
    <x v="2"/>
    <x v="0"/>
    <x v="9"/>
    <d v="2026-03-15T18:27:09"/>
  </r>
  <r>
    <n v="330"/>
    <s v="Tina"/>
    <s v="Ford"/>
    <n v="69"/>
    <x v="0"/>
    <x v="4"/>
    <x v="5"/>
    <d v="2026-03-15T18:27:43"/>
  </r>
  <r>
    <n v="331"/>
    <s v="Michael"/>
    <s v="Martinez"/>
    <n v="42"/>
    <x v="1"/>
    <x v="3"/>
    <x v="9"/>
    <d v="2026-03-15T18:28:12"/>
  </r>
  <r>
    <n v="332"/>
    <s v="Kenneth"/>
    <s v="Mills"/>
    <n v="39"/>
    <x v="0"/>
    <x v="2"/>
    <x v="14"/>
    <d v="2026-03-15T18:28:33"/>
  </r>
  <r>
    <n v="333"/>
    <s v="Crystal"/>
    <s v="Dominguez"/>
    <n v="58"/>
    <x v="0"/>
    <x v="2"/>
    <x v="2"/>
    <d v="2026-03-15T18:53:46"/>
  </r>
  <r>
    <n v="334"/>
    <s v="Debra"/>
    <s v="Myers"/>
    <n v="25"/>
    <x v="2"/>
    <x v="2"/>
    <x v="17"/>
    <d v="2026-03-15T19:05:30"/>
  </r>
  <r>
    <n v="335"/>
    <s v="Jackson"/>
    <s v="Rodriguez"/>
    <n v="47"/>
    <x v="1"/>
    <x v="6"/>
    <x v="4"/>
    <d v="2026-03-15T19:06:27"/>
  </r>
  <r>
    <n v="336"/>
    <s v="Carla"/>
    <s v="Ross"/>
    <n v="23"/>
    <x v="1"/>
    <x v="1"/>
    <x v="16"/>
    <d v="2026-03-15T19:06:45"/>
  </r>
  <r>
    <n v="337"/>
    <s v="Amanda"/>
    <s v="Ewing"/>
    <n v="42"/>
    <x v="1"/>
    <x v="2"/>
    <x v="15"/>
    <d v="2026-03-15T19:07:15"/>
  </r>
  <r>
    <n v="338"/>
    <s v="Scott"/>
    <s v="Johnson"/>
    <n v="50"/>
    <x v="0"/>
    <x v="3"/>
    <x v="7"/>
    <d v="2026-03-15T19:07:26"/>
  </r>
  <r>
    <n v="339"/>
    <s v="Susan"/>
    <s v="Lamb"/>
    <n v="52"/>
    <x v="1"/>
    <x v="2"/>
    <x v="17"/>
    <d v="2026-03-15T19:07:53"/>
  </r>
  <r>
    <n v="340"/>
    <s v="Jonathan"/>
    <s v="Wright"/>
    <n v="49"/>
    <x v="1"/>
    <x v="1"/>
    <x v="1"/>
    <d v="2026-03-15T19:08:11"/>
  </r>
  <r>
    <n v="341"/>
    <s v="Robert"/>
    <s v="Thomas"/>
    <n v="64"/>
    <x v="1"/>
    <x v="6"/>
    <x v="9"/>
    <d v="2026-03-15T19:08:31"/>
  </r>
  <r>
    <n v="342"/>
    <s v="Erik"/>
    <s v="Lyons"/>
    <n v="49"/>
    <x v="2"/>
    <x v="3"/>
    <x v="7"/>
    <d v="2026-03-15T19:08:42"/>
  </r>
  <r>
    <n v="343"/>
    <s v="James"/>
    <s v="Thompson"/>
    <n v="19"/>
    <x v="1"/>
    <x v="1"/>
    <x v="4"/>
    <d v="2026-03-15T19:09:11"/>
  </r>
  <r>
    <n v="344"/>
    <s v="Jared"/>
    <s v="Olsen"/>
    <n v="58"/>
    <x v="2"/>
    <x v="4"/>
    <x v="4"/>
    <d v="2026-03-15T19:10:11"/>
  </r>
  <r>
    <n v="345"/>
    <s v="James"/>
    <s v="Robinson"/>
    <n v="59"/>
    <x v="0"/>
    <x v="2"/>
    <x v="8"/>
    <d v="2026-03-15T19:10:51"/>
  </r>
  <r>
    <n v="346"/>
    <s v="Heather"/>
    <s v="Evans"/>
    <n v="59"/>
    <x v="1"/>
    <x v="3"/>
    <x v="7"/>
    <d v="2026-03-15T19:11:28"/>
  </r>
  <r>
    <n v="347"/>
    <s v="Patrick"/>
    <s v="Scott"/>
    <n v="58"/>
    <x v="2"/>
    <x v="5"/>
    <x v="0"/>
    <d v="2026-03-15T19:11:43"/>
  </r>
  <r>
    <n v="348"/>
    <s v="Curtis"/>
    <s v="Morrow"/>
    <n v="47"/>
    <x v="0"/>
    <x v="2"/>
    <x v="2"/>
    <d v="2026-03-15T19:12:34"/>
  </r>
  <r>
    <n v="349"/>
    <s v="Stephanie"/>
    <s v="Hall"/>
    <n v="68"/>
    <x v="2"/>
    <x v="1"/>
    <x v="8"/>
    <d v="2026-03-15T19:13:02"/>
  </r>
  <r>
    <n v="350"/>
    <s v="Todd"/>
    <s v="Guerrero"/>
    <n v="58"/>
    <x v="2"/>
    <x v="6"/>
    <x v="17"/>
    <d v="2026-03-15T19:13:25"/>
  </r>
  <r>
    <n v="351"/>
    <s v="Timothy"/>
    <s v="Chen"/>
    <n v="64"/>
    <x v="0"/>
    <x v="4"/>
    <x v="19"/>
    <d v="2026-03-15T19:13:57"/>
  </r>
  <r>
    <n v="352"/>
    <s v="Darrell"/>
    <s v="Evans"/>
    <n v="40"/>
    <x v="0"/>
    <x v="3"/>
    <x v="7"/>
    <d v="2026-03-15T19:14:51"/>
  </r>
  <r>
    <n v="353"/>
    <s v="Scott"/>
    <s v="Flynn"/>
    <n v="46"/>
    <x v="0"/>
    <x v="5"/>
    <x v="9"/>
    <d v="2026-03-15T19:15:02"/>
  </r>
  <r>
    <n v="354"/>
    <s v="Martin"/>
    <s v="Pearson"/>
    <n v="48"/>
    <x v="0"/>
    <x v="2"/>
    <x v="1"/>
    <d v="2026-03-15T19:15:38"/>
  </r>
  <r>
    <n v="355"/>
    <s v="Jared"/>
    <s v="Torres"/>
    <n v="25"/>
    <x v="0"/>
    <x v="2"/>
    <x v="4"/>
    <d v="2026-03-15T19:16:28"/>
  </r>
  <r>
    <n v="356"/>
    <s v="Hunter"/>
    <s v="Miller"/>
    <n v="62"/>
    <x v="1"/>
    <x v="2"/>
    <x v="12"/>
    <d v="2026-03-15T19:17:11"/>
  </r>
  <r>
    <n v="357"/>
    <s v="Brian"/>
    <s v="Smith"/>
    <n v="41"/>
    <x v="1"/>
    <x v="4"/>
    <x v="7"/>
    <d v="2026-03-15T19:18:04"/>
  </r>
  <r>
    <n v="358"/>
    <s v="Craig"/>
    <s v="Hawkins"/>
    <n v="43"/>
    <x v="1"/>
    <x v="4"/>
    <x v="19"/>
    <d v="2026-03-15T19:18:17"/>
  </r>
  <r>
    <n v="359"/>
    <s v="Russell"/>
    <s v="Griffith"/>
    <n v="35"/>
    <x v="1"/>
    <x v="1"/>
    <x v="11"/>
    <d v="2026-03-15T19:19:07"/>
  </r>
  <r>
    <n v="360"/>
    <s v="Norman"/>
    <s v="Rodriguez"/>
    <n v="38"/>
    <x v="2"/>
    <x v="1"/>
    <x v="11"/>
    <d v="2026-03-15T19:19:57"/>
  </r>
  <r>
    <n v="361"/>
    <s v="Frank"/>
    <s v="Kelley"/>
    <n v="56"/>
    <x v="0"/>
    <x v="4"/>
    <x v="15"/>
    <d v="2026-03-15T19:20:45"/>
  </r>
  <r>
    <n v="362"/>
    <s v="Kenneth"/>
    <s v="Simmons"/>
    <n v="53"/>
    <x v="2"/>
    <x v="0"/>
    <x v="6"/>
    <d v="2026-03-15T19:21:00"/>
  </r>
  <r>
    <n v="363"/>
    <s v="Tiffany"/>
    <s v="Smith"/>
    <n v="40"/>
    <x v="0"/>
    <x v="3"/>
    <x v="3"/>
    <d v="2026-03-15T19:21:40"/>
  </r>
  <r>
    <n v="364"/>
    <s v="Angela"/>
    <s v="Morrison"/>
    <n v="21"/>
    <x v="2"/>
    <x v="0"/>
    <x v="5"/>
    <d v="2026-03-15T19:22:27"/>
  </r>
  <r>
    <n v="365"/>
    <s v="James"/>
    <s v="Williams"/>
    <n v="49"/>
    <x v="2"/>
    <x v="0"/>
    <x v="2"/>
    <d v="2026-03-15T19:22:52"/>
  </r>
  <r>
    <n v="366"/>
    <s v="Monica"/>
    <s v="Ray"/>
    <n v="25"/>
    <x v="1"/>
    <x v="5"/>
    <x v="11"/>
    <d v="2026-03-15T19:23:50"/>
  </r>
  <r>
    <n v="367"/>
    <s v="Thomas"/>
    <s v="Walker"/>
    <n v="30"/>
    <x v="2"/>
    <x v="2"/>
    <x v="13"/>
    <d v="2026-03-15T19:24:38"/>
  </r>
  <r>
    <n v="368"/>
    <s v="Teresa"/>
    <s v="Collins"/>
    <n v="65"/>
    <x v="2"/>
    <x v="6"/>
    <x v="12"/>
    <d v="2026-03-15T19:25:03"/>
  </r>
  <r>
    <n v="369"/>
    <s v="Kyle"/>
    <s v="Henderson"/>
    <n v="30"/>
    <x v="2"/>
    <x v="1"/>
    <x v="0"/>
    <d v="2026-03-15T19:25:54"/>
  </r>
  <r>
    <n v="370"/>
    <s v="Gregory"/>
    <s v="Holt"/>
    <n v="30"/>
    <x v="2"/>
    <x v="0"/>
    <x v="9"/>
    <d v="2026-03-15T19:26:52"/>
  </r>
  <r>
    <n v="371"/>
    <s v="Amanda"/>
    <s v="Wilson"/>
    <n v="61"/>
    <x v="2"/>
    <x v="2"/>
    <x v="2"/>
    <d v="2026-03-15T19:27:52"/>
  </r>
  <r>
    <n v="372"/>
    <s v="Cindy"/>
    <s v="Villarreal"/>
    <n v="66"/>
    <x v="2"/>
    <x v="6"/>
    <x v="19"/>
    <d v="2026-03-15T19:28:23"/>
  </r>
  <r>
    <n v="373"/>
    <s v="Christopher"/>
    <s v="Evans"/>
    <n v="66"/>
    <x v="0"/>
    <x v="3"/>
    <x v="3"/>
    <d v="2026-03-15T19:29:12"/>
  </r>
  <r>
    <n v="374"/>
    <s v="Donna"/>
    <s v="Berry"/>
    <n v="45"/>
    <x v="0"/>
    <x v="2"/>
    <x v="8"/>
    <d v="2026-03-15T19:30:10"/>
  </r>
  <r>
    <n v="375"/>
    <s v="Samantha"/>
    <s v="Case"/>
    <n v="42"/>
    <x v="0"/>
    <x v="1"/>
    <x v="9"/>
    <d v="2026-03-15T19:30:25"/>
  </r>
  <r>
    <n v="376"/>
    <s v="Cheryl"/>
    <s v="Ochoa"/>
    <n v="68"/>
    <x v="2"/>
    <x v="4"/>
    <x v="19"/>
    <d v="2026-03-15T19:31:20"/>
  </r>
  <r>
    <n v="377"/>
    <s v="Tammy"/>
    <s v="Tate"/>
    <n v="36"/>
    <x v="0"/>
    <x v="0"/>
    <x v="0"/>
    <d v="2026-03-15T19:31:44"/>
  </r>
  <r>
    <n v="378"/>
    <s v="Ronald"/>
    <s v="Jones"/>
    <n v="30"/>
    <x v="1"/>
    <x v="1"/>
    <x v="16"/>
    <d v="2026-03-15T19:32:01"/>
  </r>
  <r>
    <n v="379"/>
    <s v="Kaitlyn"/>
    <s v="Robinson"/>
    <n v="62"/>
    <x v="1"/>
    <x v="6"/>
    <x v="3"/>
    <d v="2026-03-15T19:32:38"/>
  </r>
  <r>
    <n v="380"/>
    <s v="Luis"/>
    <s v="Mcintosh"/>
    <n v="23"/>
    <x v="2"/>
    <x v="2"/>
    <x v="11"/>
    <d v="2026-03-15T19:33:21"/>
  </r>
  <r>
    <n v="381"/>
    <s v="Laura"/>
    <s v="Mitchell"/>
    <n v="53"/>
    <x v="1"/>
    <x v="4"/>
    <x v="2"/>
    <d v="2026-03-15T19:34:04"/>
  </r>
  <r>
    <n v="382"/>
    <s v="Rebecca"/>
    <s v="Spencer"/>
    <n v="63"/>
    <x v="1"/>
    <x v="6"/>
    <x v="11"/>
    <d v="2026-03-15T19:34:33"/>
  </r>
  <r>
    <n v="383"/>
    <s v="Patrick"/>
    <s v="Larson"/>
    <n v="64"/>
    <x v="0"/>
    <x v="5"/>
    <x v="11"/>
    <d v="2026-03-15T19:35:12"/>
  </r>
  <r>
    <n v="384"/>
    <s v="Nicole"/>
    <s v="Rowland"/>
    <n v="25"/>
    <x v="0"/>
    <x v="4"/>
    <x v="9"/>
    <d v="2026-03-15T19:35:25"/>
  </r>
  <r>
    <n v="385"/>
    <s v="Calvin"/>
    <s v="Brown"/>
    <n v="48"/>
    <x v="2"/>
    <x v="5"/>
    <x v="5"/>
    <d v="2026-03-15T19:35:51"/>
  </r>
  <r>
    <n v="386"/>
    <s v="Tiffany"/>
    <s v="Campbell"/>
    <n v="33"/>
    <x v="0"/>
    <x v="0"/>
    <x v="18"/>
    <d v="2026-03-15T19:36:17"/>
  </r>
  <r>
    <n v="387"/>
    <s v="Antonio"/>
    <s v="Williams"/>
    <n v="41"/>
    <x v="1"/>
    <x v="3"/>
    <x v="5"/>
    <d v="2026-03-15T19:37:03"/>
  </r>
  <r>
    <n v="388"/>
    <s v="Dana"/>
    <s v="Williamson"/>
    <n v="43"/>
    <x v="2"/>
    <x v="1"/>
    <x v="6"/>
    <d v="2026-03-15T19:37:20"/>
  </r>
  <r>
    <n v="389"/>
    <s v="Debra"/>
    <s v="Frazier"/>
    <n v="49"/>
    <x v="0"/>
    <x v="3"/>
    <x v="4"/>
    <d v="2026-03-15T19:37:32"/>
  </r>
  <r>
    <n v="390"/>
    <s v="Tammie"/>
    <s v="Alexander"/>
    <n v="56"/>
    <x v="1"/>
    <x v="1"/>
    <x v="15"/>
    <d v="2026-03-15T19:37:56"/>
  </r>
  <r>
    <n v="391"/>
    <s v="Courtney"/>
    <s v="Vasquez"/>
    <n v="29"/>
    <x v="2"/>
    <x v="4"/>
    <x v="12"/>
    <d v="2026-03-15T19:38:12"/>
  </r>
  <r>
    <n v="392"/>
    <s v="Wendy"/>
    <s v="Howard"/>
    <n v="70"/>
    <x v="0"/>
    <x v="1"/>
    <x v="12"/>
    <d v="2026-03-15T19:38:52"/>
  </r>
  <r>
    <n v="393"/>
    <s v="Kenneth"/>
    <s v="Murphy"/>
    <n v="28"/>
    <x v="2"/>
    <x v="5"/>
    <x v="9"/>
    <d v="2026-03-15T19:39:50"/>
  </r>
  <r>
    <n v="394"/>
    <s v="Jimmy"/>
    <s v="Hancock"/>
    <n v="53"/>
    <x v="0"/>
    <x v="2"/>
    <x v="2"/>
    <d v="2026-03-15T19:40:35"/>
  </r>
  <r>
    <n v="395"/>
    <s v="Elizabeth"/>
    <s v="Fox"/>
    <n v="47"/>
    <x v="2"/>
    <x v="0"/>
    <x v="5"/>
    <d v="2026-03-15T19:41:28"/>
  </r>
  <r>
    <n v="396"/>
    <s v="Jeremy"/>
    <s v="Roth"/>
    <n v="58"/>
    <x v="1"/>
    <x v="1"/>
    <x v="8"/>
    <d v="2026-03-15T19:42:21"/>
  </r>
  <r>
    <n v="397"/>
    <s v="Christopher"/>
    <s v="Mercado"/>
    <n v="61"/>
    <x v="0"/>
    <x v="4"/>
    <x v="4"/>
    <d v="2026-03-15T19:42:48"/>
  </r>
  <r>
    <n v="398"/>
    <s v="Jason"/>
    <s v="Greene"/>
    <n v="30"/>
    <x v="2"/>
    <x v="0"/>
    <x v="6"/>
    <d v="2026-03-15T19:42:59"/>
  </r>
  <r>
    <n v="399"/>
    <s v="Amanda"/>
    <s v="Henry"/>
    <n v="55"/>
    <x v="1"/>
    <x v="3"/>
    <x v="0"/>
    <d v="2026-03-15T19:43:36"/>
  </r>
  <r>
    <n v="400"/>
    <s v="Chris"/>
    <s v="Young"/>
    <n v="66"/>
    <x v="0"/>
    <x v="5"/>
    <x v="16"/>
    <d v="2026-03-15T19:44:05"/>
  </r>
  <r>
    <n v="401"/>
    <s v="Joseph"/>
    <s v="Holmes"/>
    <n v="38"/>
    <x v="1"/>
    <x v="6"/>
    <x v="17"/>
    <d v="2026-03-15T19:44:20"/>
  </r>
  <r>
    <n v="402"/>
    <s v="Cesar"/>
    <s v="Hernandez"/>
    <n v="47"/>
    <x v="1"/>
    <x v="3"/>
    <x v="18"/>
    <d v="2026-03-15T19:44:46"/>
  </r>
  <r>
    <n v="403"/>
    <s v="Randy"/>
    <s v="Clark"/>
    <n v="51"/>
    <x v="0"/>
    <x v="6"/>
    <x v="9"/>
    <d v="2026-03-15T19:45:06"/>
  </r>
  <r>
    <n v="404"/>
    <s v="Jeff"/>
    <s v="Johnson"/>
    <n v="24"/>
    <x v="1"/>
    <x v="0"/>
    <x v="18"/>
    <d v="2026-03-15T19:45:31"/>
  </r>
  <r>
    <n v="405"/>
    <s v="Renee"/>
    <s v="Chambers"/>
    <n v="31"/>
    <x v="0"/>
    <x v="2"/>
    <x v="12"/>
    <d v="2026-03-15T19:46:07"/>
  </r>
  <r>
    <n v="406"/>
    <s v="David"/>
    <s v="Mclean"/>
    <n v="29"/>
    <x v="0"/>
    <x v="1"/>
    <x v="19"/>
    <d v="2026-03-15T19:46:40"/>
  </r>
  <r>
    <n v="407"/>
    <s v="Crystal"/>
    <s v="Romero"/>
    <n v="36"/>
    <x v="1"/>
    <x v="0"/>
    <x v="11"/>
    <d v="2026-03-15T19:46:52"/>
  </r>
  <r>
    <n v="408"/>
    <s v="Kelly"/>
    <s v="Johnson"/>
    <n v="40"/>
    <x v="2"/>
    <x v="2"/>
    <x v="19"/>
    <d v="2026-03-16T20:26:22"/>
  </r>
  <r>
    <n v="409"/>
    <s v="Jennifer"/>
    <s v="Parks"/>
    <n v="57"/>
    <x v="2"/>
    <x v="1"/>
    <x v="13"/>
    <d v="2026-03-16T20:26:39"/>
  </r>
  <r>
    <n v="410"/>
    <s v="Phillip"/>
    <s v="Romero"/>
    <n v="70"/>
    <x v="2"/>
    <x v="3"/>
    <x v="14"/>
    <d v="2026-03-16T20:26:57"/>
  </r>
  <r>
    <n v="411"/>
    <s v="Andrew"/>
    <s v="Owens"/>
    <n v="54"/>
    <x v="2"/>
    <x v="5"/>
    <x v="2"/>
    <d v="2026-03-16T20:27:11"/>
  </r>
  <r>
    <n v="412"/>
    <s v="Kyle"/>
    <s v="Noble"/>
    <n v="70"/>
    <x v="0"/>
    <x v="4"/>
    <x v="3"/>
    <d v="2026-03-16T20:27:33"/>
  </r>
  <r>
    <n v="413"/>
    <s v="David"/>
    <s v="Martin"/>
    <n v="40"/>
    <x v="1"/>
    <x v="4"/>
    <x v="14"/>
    <d v="2026-03-16T20:28:14"/>
  </r>
  <r>
    <n v="414"/>
    <s v="Anthony"/>
    <s v="Rich"/>
    <n v="45"/>
    <x v="1"/>
    <x v="4"/>
    <x v="14"/>
    <d v="2026-03-16T20:28:41"/>
  </r>
  <r>
    <n v="415"/>
    <s v="Amy"/>
    <s v="Elliott"/>
    <n v="66"/>
    <x v="2"/>
    <x v="5"/>
    <x v="12"/>
    <d v="2026-03-16T20:29:19"/>
  </r>
  <r>
    <n v="416"/>
    <s v="Deborah"/>
    <s v="Carr"/>
    <n v="25"/>
    <x v="2"/>
    <x v="4"/>
    <x v="12"/>
    <d v="2026-03-16T20:30:04"/>
  </r>
  <r>
    <n v="417"/>
    <s v="Angela"/>
    <s v="Carter"/>
    <n v="57"/>
    <x v="0"/>
    <x v="4"/>
    <x v="7"/>
    <d v="2026-03-16T20:30:57"/>
  </r>
  <r>
    <n v="418"/>
    <s v="Derek"/>
    <s v="Kaiser"/>
    <n v="69"/>
    <x v="1"/>
    <x v="2"/>
    <x v="11"/>
    <d v="2026-03-16T20:31:23"/>
  </r>
  <r>
    <n v="419"/>
    <s v="Maurice"/>
    <s v="Gamble"/>
    <n v="22"/>
    <x v="2"/>
    <x v="3"/>
    <x v="16"/>
    <d v="2026-03-16T20:31:44"/>
  </r>
  <r>
    <n v="420"/>
    <s v="Albert"/>
    <s v="Martin"/>
    <n v="45"/>
    <x v="0"/>
    <x v="3"/>
    <x v="4"/>
    <d v="2026-03-16T20:32:24"/>
  </r>
  <r>
    <n v="421"/>
    <s v="Angelica"/>
    <s v="Lopez"/>
    <n v="46"/>
    <x v="1"/>
    <x v="1"/>
    <x v="2"/>
    <d v="2026-03-16T20:32:39"/>
  </r>
  <r>
    <n v="422"/>
    <s v="Kenneth"/>
    <s v="Young"/>
    <n v="23"/>
    <x v="0"/>
    <x v="6"/>
    <x v="5"/>
    <d v="2026-03-16T20:32:55"/>
  </r>
  <r>
    <n v="423"/>
    <s v="Elizabeth"/>
    <s v="Evans"/>
    <n v="61"/>
    <x v="2"/>
    <x v="4"/>
    <x v="9"/>
    <d v="2026-03-16T20:33:50"/>
  </r>
  <r>
    <n v="424"/>
    <s v="Nicholas"/>
    <s v="Mcdonald"/>
    <n v="54"/>
    <x v="1"/>
    <x v="4"/>
    <x v="8"/>
    <d v="2026-03-16T20:34:05"/>
  </r>
  <r>
    <n v="425"/>
    <s v="Adam"/>
    <s v="Brown"/>
    <n v="55"/>
    <x v="1"/>
    <x v="0"/>
    <x v="10"/>
    <d v="2026-03-16T20:35:04"/>
  </r>
  <r>
    <n v="426"/>
    <s v="Jason"/>
    <s v="Richardson"/>
    <n v="50"/>
    <x v="1"/>
    <x v="0"/>
    <x v="12"/>
    <d v="2026-03-16T20:35:35"/>
  </r>
  <r>
    <n v="427"/>
    <s v="Denise"/>
    <s v="Martinez"/>
    <n v="49"/>
    <x v="2"/>
    <x v="0"/>
    <x v="5"/>
    <d v="2026-03-16T20:35:59"/>
  </r>
  <r>
    <n v="428"/>
    <s v="Douglas"/>
    <s v="Murphy"/>
    <n v="57"/>
    <x v="0"/>
    <x v="5"/>
    <x v="6"/>
    <d v="2026-03-16T20:36:25"/>
  </r>
  <r>
    <n v="429"/>
    <s v="Bryan"/>
    <s v="Hammond"/>
    <n v="33"/>
    <x v="0"/>
    <x v="5"/>
    <x v="8"/>
    <d v="2026-03-16T20:36:52"/>
  </r>
  <r>
    <n v="430"/>
    <s v="Diana"/>
    <s v="Miller"/>
    <n v="36"/>
    <x v="2"/>
    <x v="1"/>
    <x v="14"/>
    <d v="2026-03-16T20:37:22"/>
  </r>
  <r>
    <n v="431"/>
    <s v="Kristina"/>
    <s v="Gardner"/>
    <n v="32"/>
    <x v="1"/>
    <x v="1"/>
    <x v="19"/>
    <d v="2026-03-16T20:37:57"/>
  </r>
  <r>
    <n v="432"/>
    <s v="Tyler"/>
    <s v="Alexander"/>
    <n v="63"/>
    <x v="2"/>
    <x v="6"/>
    <x v="14"/>
    <d v="2026-03-16T20:38:35"/>
  </r>
  <r>
    <n v="433"/>
    <s v="Christopher"/>
    <s v="Daniel"/>
    <n v="50"/>
    <x v="1"/>
    <x v="3"/>
    <x v="18"/>
    <d v="2026-03-16T20:39:31"/>
  </r>
  <r>
    <n v="434"/>
    <s v="Tommy"/>
    <s v="Harris"/>
    <n v="70"/>
    <x v="2"/>
    <x v="3"/>
    <x v="15"/>
    <d v="2026-03-16T20:40:01"/>
  </r>
  <r>
    <n v="435"/>
    <s v="Debbie"/>
    <s v="Cruz"/>
    <n v="66"/>
    <x v="0"/>
    <x v="6"/>
    <x v="17"/>
    <d v="2026-03-16T20:40:52"/>
  </r>
  <r>
    <n v="436"/>
    <s v="Danielle"/>
    <s v="Joseph"/>
    <n v="28"/>
    <x v="1"/>
    <x v="2"/>
    <x v="18"/>
    <d v="2026-03-16T20:41:50"/>
  </r>
  <r>
    <n v="437"/>
    <s v="Kathleen"/>
    <s v="Chapman"/>
    <n v="66"/>
    <x v="0"/>
    <x v="6"/>
    <x v="12"/>
    <d v="2026-03-16T20:42:18"/>
  </r>
  <r>
    <n v="438"/>
    <s v="Sheila"/>
    <s v="Conner"/>
    <n v="38"/>
    <x v="0"/>
    <x v="5"/>
    <x v="8"/>
    <d v="2026-03-16T20:42:48"/>
  </r>
  <r>
    <n v="439"/>
    <s v="Yvette"/>
    <s v="Bishop"/>
    <n v="22"/>
    <x v="2"/>
    <x v="1"/>
    <x v="0"/>
    <d v="2026-03-16T20:43:46"/>
  </r>
  <r>
    <n v="440"/>
    <s v="Kari"/>
    <s v="Garcia"/>
    <n v="32"/>
    <x v="0"/>
    <x v="5"/>
    <x v="10"/>
    <d v="2026-03-16T20:44:04"/>
  </r>
  <r>
    <n v="441"/>
    <s v="Daniel"/>
    <s v="Jacobs"/>
    <n v="64"/>
    <x v="2"/>
    <x v="4"/>
    <x v="9"/>
    <d v="2026-03-16T20:44:36"/>
  </r>
  <r>
    <n v="442"/>
    <s v="Martin"/>
    <s v="Morris"/>
    <n v="69"/>
    <x v="1"/>
    <x v="6"/>
    <x v="10"/>
    <d v="2026-03-16T20:45:00"/>
  </r>
  <r>
    <n v="443"/>
    <s v="John"/>
    <s v="Skinner"/>
    <n v="42"/>
    <x v="1"/>
    <x v="6"/>
    <x v="6"/>
    <d v="2026-03-16T20:45:28"/>
  </r>
  <r>
    <n v="444"/>
    <s v="Jason"/>
    <s v="Ellis"/>
    <n v="40"/>
    <x v="2"/>
    <x v="5"/>
    <x v="3"/>
    <d v="2026-03-16T20:46:19"/>
  </r>
  <r>
    <n v="445"/>
    <s v="Alexander"/>
    <s v="Franklin"/>
    <n v="45"/>
    <x v="0"/>
    <x v="5"/>
    <x v="10"/>
    <d v="2026-03-16T20:46:41"/>
  </r>
  <r>
    <n v="446"/>
    <s v="Michael"/>
    <s v="Johnson"/>
    <n v="50"/>
    <x v="1"/>
    <x v="0"/>
    <x v="13"/>
    <d v="2026-03-16T20:47:09"/>
  </r>
  <r>
    <n v="447"/>
    <s v="William"/>
    <s v="Walker"/>
    <n v="31"/>
    <x v="2"/>
    <x v="5"/>
    <x v="19"/>
    <d v="2026-03-16T20:48:05"/>
  </r>
  <r>
    <n v="448"/>
    <s v="Janet"/>
    <s v="Washington"/>
    <n v="67"/>
    <x v="1"/>
    <x v="4"/>
    <x v="4"/>
    <d v="2026-03-16T20:49:05"/>
  </r>
  <r>
    <n v="449"/>
    <s v="Jose"/>
    <s v="Sanchez"/>
    <n v="53"/>
    <x v="2"/>
    <x v="6"/>
    <x v="10"/>
    <d v="2026-03-16T20:49:48"/>
  </r>
  <r>
    <n v="450"/>
    <s v="Perry"/>
    <s v="Martin"/>
    <n v="24"/>
    <x v="1"/>
    <x v="5"/>
    <x v="13"/>
    <d v="2026-03-16T20:50:17"/>
  </r>
  <r>
    <n v="451"/>
    <s v="Robyn"/>
    <s v="Coleman"/>
    <n v="55"/>
    <x v="2"/>
    <x v="4"/>
    <x v="3"/>
    <d v="2026-03-16T20:51:13"/>
  </r>
  <r>
    <n v="452"/>
    <s v="Elizabeth"/>
    <s v="Blankenship"/>
    <n v="45"/>
    <x v="0"/>
    <x v="2"/>
    <x v="1"/>
    <d v="2026-03-16T20:51:49"/>
  </r>
  <r>
    <n v="453"/>
    <s v="Kathy"/>
    <s v="Green"/>
    <n v="28"/>
    <x v="0"/>
    <x v="2"/>
    <x v="10"/>
    <d v="2026-03-16T20:52:18"/>
  </r>
  <r>
    <n v="454"/>
    <s v="Eric"/>
    <s v="Parker"/>
    <n v="22"/>
    <x v="2"/>
    <x v="0"/>
    <x v="5"/>
    <d v="2026-03-16T20:52:56"/>
  </r>
  <r>
    <n v="455"/>
    <s v="Sean"/>
    <s v="Green"/>
    <n v="35"/>
    <x v="2"/>
    <x v="5"/>
    <x v="7"/>
    <d v="2026-03-16T20:53:13"/>
  </r>
  <r>
    <n v="456"/>
    <s v="Rhonda"/>
    <s v="Ashley"/>
    <n v="63"/>
    <x v="1"/>
    <x v="2"/>
    <x v="1"/>
    <d v="2026-03-16T20:53:45"/>
  </r>
  <r>
    <n v="457"/>
    <s v="Eric"/>
    <s v="Smith"/>
    <n v="69"/>
    <x v="1"/>
    <x v="0"/>
    <x v="10"/>
    <d v="2026-03-16T20:54:16"/>
  </r>
  <r>
    <n v="458"/>
    <s v="Daniel"/>
    <s v="Jackson"/>
    <n v="28"/>
    <x v="0"/>
    <x v="6"/>
    <x v="10"/>
    <d v="2026-03-16T20:54:58"/>
  </r>
  <r>
    <n v="459"/>
    <s v="Charles"/>
    <s v="Boyd"/>
    <n v="23"/>
    <x v="1"/>
    <x v="5"/>
    <x v="16"/>
    <d v="2026-03-16T20:55:42"/>
  </r>
  <r>
    <n v="460"/>
    <s v="Anna"/>
    <s v="Rollins"/>
    <n v="63"/>
    <x v="2"/>
    <x v="6"/>
    <x v="19"/>
    <d v="2026-03-16T20:56:09"/>
  </r>
  <r>
    <n v="461"/>
    <s v="Richard"/>
    <s v="Holt"/>
    <n v="61"/>
    <x v="1"/>
    <x v="3"/>
    <x v="14"/>
    <d v="2026-03-16T20:56:53"/>
  </r>
  <r>
    <n v="462"/>
    <s v="Scott"/>
    <s v="Gomez"/>
    <n v="40"/>
    <x v="2"/>
    <x v="5"/>
    <x v="13"/>
    <d v="2026-03-16T20:57:32"/>
  </r>
  <r>
    <n v="463"/>
    <s v="Kristen"/>
    <s v="George"/>
    <n v="47"/>
    <x v="0"/>
    <x v="5"/>
    <x v="8"/>
    <d v="2026-03-16T20:58:11"/>
  </r>
  <r>
    <n v="464"/>
    <s v="Matthew"/>
    <s v="Marshall"/>
    <n v="65"/>
    <x v="0"/>
    <x v="2"/>
    <x v="15"/>
    <d v="2026-03-16T20:58:48"/>
  </r>
  <r>
    <n v="465"/>
    <s v="Cassandra"/>
    <s v="Richards"/>
    <n v="54"/>
    <x v="1"/>
    <x v="0"/>
    <x v="6"/>
    <d v="2026-03-16T20:59:10"/>
  </r>
  <r>
    <n v="466"/>
    <s v="Jeffery"/>
    <s v="Lowe"/>
    <n v="30"/>
    <x v="0"/>
    <x v="3"/>
    <x v="1"/>
    <d v="2026-03-16T20:59:55"/>
  </r>
  <r>
    <n v="467"/>
    <s v="David"/>
    <s v="Clark"/>
    <n v="38"/>
    <x v="2"/>
    <x v="2"/>
    <x v="8"/>
    <d v="2026-03-16T21:00:46"/>
  </r>
  <r>
    <n v="468"/>
    <s v="Stephanie"/>
    <s v="Nichols"/>
    <n v="58"/>
    <x v="2"/>
    <x v="6"/>
    <x v="9"/>
    <d v="2026-03-16T21:01:36"/>
  </r>
  <r>
    <n v="469"/>
    <s v="Steven"/>
    <s v="Robertson"/>
    <n v="58"/>
    <x v="0"/>
    <x v="2"/>
    <x v="11"/>
    <d v="2026-03-16T21:02:18"/>
  </r>
  <r>
    <n v="470"/>
    <s v="Jeffrey"/>
    <s v="Howard"/>
    <n v="50"/>
    <x v="1"/>
    <x v="3"/>
    <x v="13"/>
    <d v="2026-03-16T21:03:10"/>
  </r>
  <r>
    <n v="471"/>
    <s v="Connie"/>
    <s v="Robinson"/>
    <n v="21"/>
    <x v="1"/>
    <x v="2"/>
    <x v="10"/>
    <d v="2026-03-16T21:03:29"/>
  </r>
  <r>
    <n v="472"/>
    <s v="Joshua"/>
    <s v="Bishop"/>
    <n v="21"/>
    <x v="2"/>
    <x v="1"/>
    <x v="1"/>
    <d v="2026-03-16T21:04:18"/>
  </r>
  <r>
    <n v="473"/>
    <s v="Kevin"/>
    <s v="Pham"/>
    <n v="22"/>
    <x v="2"/>
    <x v="5"/>
    <x v="12"/>
    <d v="2026-03-16T21:05:17"/>
  </r>
  <r>
    <n v="474"/>
    <s v="Misty"/>
    <s v="Shepherd"/>
    <n v="33"/>
    <x v="1"/>
    <x v="6"/>
    <x v="18"/>
    <d v="2026-03-16T21:05:29"/>
  </r>
  <r>
    <n v="475"/>
    <s v="Katherine"/>
    <s v="Decker"/>
    <n v="31"/>
    <x v="2"/>
    <x v="4"/>
    <x v="0"/>
    <d v="2026-03-16T21:06:28"/>
  </r>
  <r>
    <n v="476"/>
    <s v="Steven"/>
    <s v="Dominguez"/>
    <n v="27"/>
    <x v="1"/>
    <x v="5"/>
    <x v="18"/>
    <d v="2026-03-16T21:06:39"/>
  </r>
  <r>
    <n v="477"/>
    <s v="Nathan"/>
    <s v="Cohen"/>
    <n v="61"/>
    <x v="2"/>
    <x v="1"/>
    <x v="9"/>
    <d v="2026-03-16T21:07:39"/>
  </r>
  <r>
    <n v="478"/>
    <s v="Dennis"/>
    <s v="Bush"/>
    <n v="26"/>
    <x v="0"/>
    <x v="6"/>
    <x v="12"/>
    <d v="2026-03-16T21:07:54"/>
  </r>
  <r>
    <n v="479"/>
    <s v="James"/>
    <s v="Jackson"/>
    <n v="54"/>
    <x v="0"/>
    <x v="3"/>
    <x v="2"/>
    <d v="2026-03-16T21:08:14"/>
  </r>
  <r>
    <n v="480"/>
    <s v="Melissa"/>
    <s v="Campbell"/>
    <n v="23"/>
    <x v="2"/>
    <x v="6"/>
    <x v="7"/>
    <d v="2026-03-16T21:09:08"/>
  </r>
  <r>
    <n v="481"/>
    <s v="Teresa"/>
    <s v="Anderson"/>
    <n v="32"/>
    <x v="2"/>
    <x v="6"/>
    <x v="2"/>
    <d v="2026-03-16T21:09:30"/>
  </r>
  <r>
    <n v="482"/>
    <s v="Kimberly"/>
    <s v="Novak"/>
    <n v="31"/>
    <x v="2"/>
    <x v="5"/>
    <x v="2"/>
    <d v="2026-03-16T21:09:47"/>
  </r>
  <r>
    <n v="483"/>
    <s v="Caroline"/>
    <s v="Jennings"/>
    <n v="60"/>
    <x v="2"/>
    <x v="6"/>
    <x v="10"/>
    <d v="2026-03-16T21:10:07"/>
  </r>
  <r>
    <n v="484"/>
    <s v="Roger"/>
    <s v="Acevedo"/>
    <n v="22"/>
    <x v="2"/>
    <x v="0"/>
    <x v="7"/>
    <d v="2026-03-16T21:11:01"/>
  </r>
  <r>
    <n v="485"/>
    <s v="Charles"/>
    <s v="Santos"/>
    <n v="63"/>
    <x v="0"/>
    <x v="0"/>
    <x v="10"/>
    <d v="2026-03-16T21:11:15"/>
  </r>
  <r>
    <n v="486"/>
    <s v="Theresa"/>
    <s v="Frederick"/>
    <n v="60"/>
    <x v="1"/>
    <x v="4"/>
    <x v="1"/>
    <d v="2026-03-16T21:11:55"/>
  </r>
  <r>
    <n v="487"/>
    <s v="James"/>
    <s v="Newman"/>
    <n v="38"/>
    <x v="2"/>
    <x v="4"/>
    <x v="0"/>
    <d v="2026-03-16T21:12:39"/>
  </r>
  <r>
    <n v="488"/>
    <s v="Elizabeth"/>
    <s v="Wright"/>
    <n v="29"/>
    <x v="2"/>
    <x v="0"/>
    <x v="19"/>
    <d v="2026-03-16T21:12:56"/>
  </r>
  <r>
    <n v="489"/>
    <s v="Brandi"/>
    <s v="Maddox"/>
    <n v="35"/>
    <x v="0"/>
    <x v="4"/>
    <x v="7"/>
    <d v="2026-03-16T21:13:15"/>
  </r>
  <r>
    <n v="490"/>
    <s v="Sherry"/>
    <s v="Coleman"/>
    <n v="31"/>
    <x v="0"/>
    <x v="0"/>
    <x v="7"/>
    <d v="2026-03-16T21:14:01"/>
  </r>
  <r>
    <n v="491"/>
    <s v="Tracy"/>
    <s v="Diaz"/>
    <n v="37"/>
    <x v="2"/>
    <x v="3"/>
    <x v="15"/>
    <d v="2026-03-16T21:14:36"/>
  </r>
  <r>
    <n v="492"/>
    <s v="Neil"/>
    <s v="Becker"/>
    <n v="64"/>
    <x v="1"/>
    <x v="4"/>
    <x v="0"/>
    <d v="2026-03-16T21:15:06"/>
  </r>
  <r>
    <n v="493"/>
    <s v="Evan"/>
    <s v="Evans"/>
    <n v="26"/>
    <x v="0"/>
    <x v="6"/>
    <x v="12"/>
    <d v="2026-03-16T21:15:19"/>
  </r>
  <r>
    <n v="494"/>
    <s v="Keith"/>
    <s v="Zavala"/>
    <n v="46"/>
    <x v="1"/>
    <x v="6"/>
    <x v="4"/>
    <d v="2026-03-16T21:15:50"/>
  </r>
  <r>
    <n v="495"/>
    <s v="Timothy"/>
    <s v="Thomas"/>
    <n v="65"/>
    <x v="1"/>
    <x v="2"/>
    <x v="14"/>
    <d v="2026-03-16T21:16:46"/>
  </r>
  <r>
    <n v="496"/>
    <s v="Kimberly"/>
    <s v="Tucker"/>
    <n v="68"/>
    <x v="0"/>
    <x v="1"/>
    <x v="14"/>
    <d v="2026-03-16T21:17:39"/>
  </r>
  <r>
    <n v="497"/>
    <s v="Kimberly"/>
    <s v="Parrish"/>
    <n v="37"/>
    <x v="0"/>
    <x v="2"/>
    <x v="10"/>
    <d v="2026-03-16T21:17:53"/>
  </r>
  <r>
    <n v="498"/>
    <s v="Robin"/>
    <s v="Rodgers"/>
    <n v="44"/>
    <x v="0"/>
    <x v="0"/>
    <x v="16"/>
    <d v="2026-03-16T21:18:38"/>
  </r>
  <r>
    <n v="499"/>
    <s v="Travis"/>
    <s v="Mays"/>
    <n v="68"/>
    <x v="1"/>
    <x v="1"/>
    <x v="10"/>
    <d v="2026-03-16T21:19:28"/>
  </r>
  <r>
    <n v="500"/>
    <s v="Louis"/>
    <s v="Rivera"/>
    <n v="27"/>
    <x v="0"/>
    <x v="6"/>
    <x v="10"/>
    <d v="2026-03-16T21:20:19"/>
  </r>
  <r>
    <n v="501"/>
    <s v="Jennifer"/>
    <s v="Bailey"/>
    <n v="19"/>
    <x v="0"/>
    <x v="0"/>
    <x v="13"/>
    <d v="2026-03-16T21:20:49"/>
  </r>
  <r>
    <n v="502"/>
    <s v="Kristen"/>
    <s v="Moore"/>
    <n v="65"/>
    <x v="2"/>
    <x v="6"/>
    <x v="13"/>
    <d v="2026-03-16T21:21:41"/>
  </r>
  <r>
    <n v="503"/>
    <s v="Alfred"/>
    <s v="Martinez"/>
    <n v="56"/>
    <x v="0"/>
    <x v="1"/>
    <x v="5"/>
    <d v="2026-03-16T21:22:24"/>
  </r>
  <r>
    <n v="504"/>
    <s v="Jody"/>
    <s v="Richardson"/>
    <n v="36"/>
    <x v="1"/>
    <x v="5"/>
    <x v="17"/>
    <d v="2026-03-16T21:22:37"/>
  </r>
  <r>
    <n v="505"/>
    <s v="Ronnie"/>
    <s v="Hancock"/>
    <n v="38"/>
    <x v="1"/>
    <x v="1"/>
    <x v="9"/>
    <d v="2026-03-16T21:23:03"/>
  </r>
  <r>
    <n v="506"/>
    <s v="Lawrence"/>
    <s v="Miller"/>
    <n v="63"/>
    <x v="2"/>
    <x v="6"/>
    <x v="13"/>
    <d v="2026-03-16T21:23:13"/>
  </r>
  <r>
    <n v="507"/>
    <s v="Mark"/>
    <s v="Myers"/>
    <n v="67"/>
    <x v="2"/>
    <x v="4"/>
    <x v="3"/>
    <d v="2026-03-16T21:24:02"/>
  </r>
  <r>
    <n v="508"/>
    <s v="Sarah"/>
    <s v="Lewis"/>
    <n v="67"/>
    <x v="0"/>
    <x v="4"/>
    <x v="19"/>
    <d v="2026-03-31T14:20:20"/>
  </r>
  <r>
    <n v="509"/>
    <s v="Michael"/>
    <s v="Johnson"/>
    <n v="42"/>
    <x v="1"/>
    <x v="6"/>
    <x v="6"/>
    <d v="2026-03-31T14:21:19"/>
  </r>
  <r>
    <n v="510"/>
    <s v="Robert"/>
    <s v="Woods"/>
    <n v="27"/>
    <x v="2"/>
    <x v="3"/>
    <x v="16"/>
    <d v="2026-03-31T14:22:16"/>
  </r>
  <r>
    <n v="511"/>
    <s v="Casey"/>
    <s v="Greer"/>
    <n v="32"/>
    <x v="2"/>
    <x v="3"/>
    <x v="0"/>
    <d v="2026-03-31T14:23:12"/>
  </r>
  <r>
    <n v="512"/>
    <s v="Wayne"/>
    <s v="Johnson"/>
    <n v="70"/>
    <x v="2"/>
    <x v="1"/>
    <x v="2"/>
    <d v="2026-03-31T14:23:56"/>
  </r>
  <r>
    <n v="513"/>
    <s v="David"/>
    <s v="Anderson"/>
    <n v="69"/>
    <x v="2"/>
    <x v="5"/>
    <x v="8"/>
    <d v="2026-03-31T14:24:44"/>
  </r>
  <r>
    <n v="514"/>
    <s v="Richard"/>
    <s v="Jackson"/>
    <n v="61"/>
    <x v="0"/>
    <x v="5"/>
    <x v="8"/>
    <d v="2026-03-31T14:25:33"/>
  </r>
  <r>
    <n v="515"/>
    <s v="Ryan"/>
    <s v="Green"/>
    <n v="28"/>
    <x v="2"/>
    <x v="2"/>
    <x v="16"/>
    <d v="2026-03-31T14:25:58"/>
  </r>
  <r>
    <n v="516"/>
    <s v="Kevin"/>
    <s v="Hill"/>
    <n v="48"/>
    <x v="2"/>
    <x v="3"/>
    <x v="1"/>
    <d v="2026-03-31T14:26:46"/>
  </r>
  <r>
    <n v="517"/>
    <s v="Keith"/>
    <s v="Green"/>
    <n v="59"/>
    <x v="0"/>
    <x v="0"/>
    <x v="2"/>
    <d v="2026-03-31T14:28:05"/>
  </r>
  <r>
    <n v="518"/>
    <s v="Eric"/>
    <s v="Martin"/>
    <n v="48"/>
    <x v="0"/>
    <x v="4"/>
    <x v="19"/>
    <d v="2026-03-31T14:28:34"/>
  </r>
  <r>
    <n v="519"/>
    <s v="Justin"/>
    <s v="Simpson"/>
    <n v="31"/>
    <x v="0"/>
    <x v="5"/>
    <x v="10"/>
    <d v="2026-03-31T14:58:52"/>
  </r>
  <r>
    <n v="520"/>
    <s v="Daniel"/>
    <s v="Nelson"/>
    <n v="24"/>
    <x v="1"/>
    <x v="6"/>
    <x v="9"/>
    <d v="2026-03-31T17:10:10"/>
  </r>
  <r>
    <n v="521"/>
    <s v="Rebecca"/>
    <s v="Chambers"/>
    <n v="31"/>
    <x v="2"/>
    <x v="1"/>
    <x v="9"/>
    <d v="2026-03-31T17:43:22"/>
  </r>
  <r>
    <n v="522"/>
    <s v="Jeffrey"/>
    <s v="Lopez"/>
    <n v="62"/>
    <x v="2"/>
    <x v="1"/>
    <x v="2"/>
    <d v="2026-03-31T17:43:40"/>
  </r>
  <r>
    <n v="523"/>
    <s v="Carl"/>
    <s v="Hawkins"/>
    <n v="48"/>
    <x v="2"/>
    <x v="3"/>
    <x v="5"/>
    <d v="2026-03-31T17:44:13"/>
  </r>
  <r>
    <n v="524"/>
    <s v="Christopher"/>
    <s v="Hull"/>
    <n v="68"/>
    <x v="0"/>
    <x v="3"/>
    <x v="9"/>
    <d v="2026-03-31T17:45:07"/>
  </r>
  <r>
    <n v="525"/>
    <s v="Kristi"/>
    <s v="Smith"/>
    <n v="20"/>
    <x v="1"/>
    <x v="4"/>
    <x v="13"/>
    <d v="2026-03-31T17:45:49"/>
  </r>
  <r>
    <n v="526"/>
    <s v="Desiree"/>
    <s v="Williams"/>
    <n v="47"/>
    <x v="0"/>
    <x v="5"/>
    <x v="3"/>
    <d v="2026-03-31T17:46:06"/>
  </r>
  <r>
    <n v="527"/>
    <s v="Spencer"/>
    <s v="Armstrong"/>
    <n v="20"/>
    <x v="2"/>
    <x v="4"/>
    <x v="8"/>
    <d v="2026-03-31T17:46:24"/>
  </r>
  <r>
    <n v="528"/>
    <s v="Danielle"/>
    <s v="Lopez"/>
    <n v="55"/>
    <x v="1"/>
    <x v="1"/>
    <x v="17"/>
    <d v="2026-03-31T17:47:16"/>
  </r>
  <r>
    <n v="529"/>
    <s v="Tyler"/>
    <s v="Flynn"/>
    <n v="61"/>
    <x v="2"/>
    <x v="4"/>
    <x v="0"/>
    <d v="2026-03-31T17:47:53"/>
  </r>
  <r>
    <n v="530"/>
    <s v="Allen"/>
    <s v="Luna"/>
    <n v="66"/>
    <x v="2"/>
    <x v="3"/>
    <x v="10"/>
    <d v="2026-03-31T17:48:49"/>
  </r>
  <r>
    <n v="531"/>
    <s v="Hunter"/>
    <s v="Campos"/>
    <n v="20"/>
    <x v="1"/>
    <x v="0"/>
    <x v="18"/>
    <d v="2026-03-31T17:49:16"/>
  </r>
  <r>
    <n v="532"/>
    <s v="Maria"/>
    <s v="Smith"/>
    <n v="60"/>
    <x v="2"/>
    <x v="3"/>
    <x v="19"/>
    <d v="2026-03-31T17:49:45"/>
  </r>
  <r>
    <n v="533"/>
    <s v="Anthony"/>
    <s v="Smith"/>
    <n v="26"/>
    <x v="1"/>
    <x v="4"/>
    <x v="0"/>
    <d v="2026-03-31T17:50:01"/>
  </r>
  <r>
    <n v="534"/>
    <s v="Joseph"/>
    <s v="Hanson"/>
    <n v="34"/>
    <x v="1"/>
    <x v="2"/>
    <x v="0"/>
    <d v="2026-03-31T17:50:15"/>
  </r>
  <r>
    <n v="535"/>
    <s v="Charles"/>
    <s v="Browning"/>
    <n v="63"/>
    <x v="0"/>
    <x v="6"/>
    <x v="16"/>
    <d v="2026-03-31T17:50:40"/>
  </r>
  <r>
    <n v="536"/>
    <s v="Joanna"/>
    <s v="Brown"/>
    <n v="57"/>
    <x v="1"/>
    <x v="0"/>
    <x v="10"/>
    <d v="2026-03-31T17:51:39"/>
  </r>
  <r>
    <n v="537"/>
    <s v="Michelle"/>
    <s v="Harris"/>
    <n v="20"/>
    <x v="2"/>
    <x v="2"/>
    <x v="1"/>
    <d v="2026-03-31T17:52:20"/>
  </r>
  <r>
    <n v="538"/>
    <s v="Samantha"/>
    <s v="Sharp"/>
    <n v="25"/>
    <x v="2"/>
    <x v="4"/>
    <x v="19"/>
    <d v="2026-03-31T17:53:06"/>
  </r>
  <r>
    <n v="539"/>
    <s v="Kenneth"/>
    <s v="Greene"/>
    <n v="59"/>
    <x v="2"/>
    <x v="2"/>
    <x v="17"/>
    <d v="2026-03-31T17:53:37"/>
  </r>
  <r>
    <n v="540"/>
    <s v="Maria"/>
    <s v="Ellis"/>
    <n v="21"/>
    <x v="0"/>
    <x v="1"/>
    <x v="10"/>
    <d v="2026-03-31T17:53:47"/>
  </r>
  <r>
    <n v="541"/>
    <s v="Robert"/>
    <s v="Chen"/>
    <n v="20"/>
    <x v="1"/>
    <x v="6"/>
    <x v="16"/>
    <d v="2026-03-31T17:54:12"/>
  </r>
  <r>
    <n v="542"/>
    <s v="Tammy"/>
    <s v="Brown"/>
    <n v="46"/>
    <x v="0"/>
    <x v="6"/>
    <x v="19"/>
    <d v="2026-03-31T17:55:04"/>
  </r>
  <r>
    <n v="543"/>
    <s v="Joseph"/>
    <s v="Johnson"/>
    <n v="21"/>
    <x v="0"/>
    <x v="1"/>
    <x v="1"/>
    <d v="2026-03-31T17:55:14"/>
  </r>
  <r>
    <n v="544"/>
    <s v="Trevor"/>
    <s v="Davis"/>
    <n v="54"/>
    <x v="2"/>
    <x v="3"/>
    <x v="16"/>
    <d v="2026-03-31T17:55:25"/>
  </r>
  <r>
    <n v="545"/>
    <s v="Bryan"/>
    <s v="Russo"/>
    <n v="70"/>
    <x v="0"/>
    <x v="5"/>
    <x v="6"/>
    <d v="2026-03-31T17:56:05"/>
  </r>
  <r>
    <n v="546"/>
    <s v="Alyssa"/>
    <s v="Lawson"/>
    <n v="57"/>
    <x v="0"/>
    <x v="5"/>
    <x v="18"/>
    <d v="2026-03-31T17:56:43"/>
  </r>
  <r>
    <n v="547"/>
    <s v="Donald"/>
    <s v="Pierce"/>
    <n v="29"/>
    <x v="2"/>
    <x v="6"/>
    <x v="4"/>
    <d v="2026-03-31T17:57:12"/>
  </r>
  <r>
    <n v="548"/>
    <s v="Corey"/>
    <s v="Thomas"/>
    <n v="64"/>
    <x v="1"/>
    <x v="2"/>
    <x v="17"/>
    <d v="2026-03-31T17:58:02"/>
  </r>
  <r>
    <n v="549"/>
    <s v="Gary"/>
    <s v="Young"/>
    <n v="24"/>
    <x v="0"/>
    <x v="6"/>
    <x v="9"/>
    <d v="2026-03-31T17:58:17"/>
  </r>
  <r>
    <n v="550"/>
    <s v="Sarah"/>
    <s v="Ellison"/>
    <n v="55"/>
    <x v="1"/>
    <x v="2"/>
    <x v="19"/>
    <d v="2026-03-31T17:58:46"/>
  </r>
  <r>
    <n v="551"/>
    <s v="William"/>
    <s v="Hernandez"/>
    <n v="50"/>
    <x v="1"/>
    <x v="2"/>
    <x v="18"/>
    <d v="2026-03-31T17:59:15"/>
  </r>
  <r>
    <n v="552"/>
    <s v="Lori"/>
    <s v="Mcdowell"/>
    <n v="45"/>
    <x v="1"/>
    <x v="2"/>
    <x v="0"/>
    <d v="2026-03-31T17:59:37"/>
  </r>
  <r>
    <n v="553"/>
    <s v="Jeremy"/>
    <s v="Oconnor"/>
    <n v="35"/>
    <x v="1"/>
    <x v="4"/>
    <x v="16"/>
    <d v="2026-03-31T18:00:20"/>
  </r>
  <r>
    <n v="554"/>
    <s v="Jeffery"/>
    <s v="Thomas"/>
    <n v="32"/>
    <x v="0"/>
    <x v="0"/>
    <x v="0"/>
    <d v="2026-03-31T18:01:11"/>
  </r>
  <r>
    <n v="555"/>
    <s v="Brittany"/>
    <s v="Vasquez"/>
    <n v="65"/>
    <x v="1"/>
    <x v="0"/>
    <x v="4"/>
    <d v="2026-03-31T18:01:23"/>
  </r>
  <r>
    <n v="556"/>
    <s v="Robin"/>
    <s v="Dodson"/>
    <n v="64"/>
    <x v="0"/>
    <x v="0"/>
    <x v="18"/>
    <d v="2026-03-31T18:02:11"/>
  </r>
  <r>
    <n v="557"/>
    <s v="Brandon"/>
    <s v="Rice"/>
    <n v="56"/>
    <x v="0"/>
    <x v="3"/>
    <x v="7"/>
    <d v="2026-03-31T18:02:47"/>
  </r>
  <r>
    <n v="558"/>
    <s v="Cynthia"/>
    <s v="Smith"/>
    <n v="27"/>
    <x v="2"/>
    <x v="3"/>
    <x v="11"/>
    <d v="2026-03-31T18:03:38"/>
  </r>
  <r>
    <n v="559"/>
    <s v="Jason"/>
    <s v="Carr"/>
    <n v="69"/>
    <x v="1"/>
    <x v="6"/>
    <x v="18"/>
    <d v="2026-03-31T18:04:31"/>
  </r>
  <r>
    <n v="560"/>
    <s v="Jonathan"/>
    <s v="Herrera"/>
    <n v="42"/>
    <x v="1"/>
    <x v="2"/>
    <x v="15"/>
    <d v="2026-03-31T18:04:58"/>
  </r>
  <r>
    <n v="561"/>
    <s v="Kenneth"/>
    <s v="Hill"/>
    <n v="37"/>
    <x v="2"/>
    <x v="6"/>
    <x v="4"/>
    <d v="2026-03-31T18:05:20"/>
  </r>
  <r>
    <n v="562"/>
    <s v="Jasmine"/>
    <s v="Pennington"/>
    <n v="59"/>
    <x v="0"/>
    <x v="5"/>
    <x v="4"/>
    <d v="2026-03-31T18:05:57"/>
  </r>
  <r>
    <n v="563"/>
    <s v="Joseph"/>
    <s v="Browning"/>
    <n v="28"/>
    <x v="0"/>
    <x v="6"/>
    <x v="18"/>
    <d v="2026-03-31T18:06:50"/>
  </r>
  <r>
    <n v="564"/>
    <s v="Ryan"/>
    <s v="Reyes"/>
    <n v="26"/>
    <x v="0"/>
    <x v="2"/>
    <x v="10"/>
    <d v="2026-03-31T18:07:38"/>
  </r>
  <r>
    <n v="565"/>
    <s v="Victoria"/>
    <s v="Andrade"/>
    <n v="70"/>
    <x v="1"/>
    <x v="2"/>
    <x v="6"/>
    <d v="2026-03-31T18:08:08"/>
  </r>
  <r>
    <n v="566"/>
    <s v="Jacqueline"/>
    <s v="Rowland"/>
    <n v="58"/>
    <x v="2"/>
    <x v="4"/>
    <x v="14"/>
    <d v="2026-03-31T18:08:19"/>
  </r>
  <r>
    <n v="567"/>
    <s v="Douglas"/>
    <s v="Reeves"/>
    <n v="25"/>
    <x v="0"/>
    <x v="1"/>
    <x v="12"/>
    <d v="2026-03-31T18:08:39"/>
  </r>
  <r>
    <n v="568"/>
    <s v="Dustin"/>
    <s v="Miller"/>
    <n v="31"/>
    <x v="2"/>
    <x v="5"/>
    <x v="13"/>
    <d v="2026-03-31T18:08:52"/>
  </r>
  <r>
    <n v="569"/>
    <s v="Cheryl"/>
    <s v="Friedman"/>
    <n v="47"/>
    <x v="0"/>
    <x v="6"/>
    <x v="3"/>
    <d v="2026-03-31T18:09:21"/>
  </r>
  <r>
    <n v="570"/>
    <s v="Shannon"/>
    <s v="Kent"/>
    <n v="45"/>
    <x v="1"/>
    <x v="4"/>
    <x v="9"/>
    <d v="2026-03-31T18:10:12"/>
  </r>
  <r>
    <n v="571"/>
    <s v="Brandon"/>
    <s v="Dawson"/>
    <n v="64"/>
    <x v="0"/>
    <x v="3"/>
    <x v="7"/>
    <d v="2026-03-31T18:10:59"/>
  </r>
  <r>
    <n v="572"/>
    <s v="Jeffery"/>
    <s v="Kennedy"/>
    <n v="39"/>
    <x v="0"/>
    <x v="4"/>
    <x v="8"/>
    <d v="2026-03-31T18:11:18"/>
  </r>
  <r>
    <n v="573"/>
    <s v="Anthony"/>
    <s v="Atkinson"/>
    <n v="66"/>
    <x v="1"/>
    <x v="6"/>
    <x v="15"/>
    <d v="2026-03-31T18:11:29"/>
  </r>
  <r>
    <n v="574"/>
    <s v="Jason"/>
    <s v="Fischer"/>
    <n v="62"/>
    <x v="0"/>
    <x v="5"/>
    <x v="14"/>
    <d v="2026-03-31T18:12:08"/>
  </r>
  <r>
    <n v="575"/>
    <s v="Linda"/>
    <s v="Mcmahon"/>
    <n v="55"/>
    <x v="1"/>
    <x v="4"/>
    <x v="19"/>
    <d v="2026-03-31T18:12:27"/>
  </r>
  <r>
    <n v="576"/>
    <s v="Sean"/>
    <s v="Carr"/>
    <n v="57"/>
    <x v="2"/>
    <x v="0"/>
    <x v="17"/>
    <d v="2026-03-31T18:12:57"/>
  </r>
  <r>
    <n v="577"/>
    <s v="Anna"/>
    <s v="Smith"/>
    <n v="55"/>
    <x v="0"/>
    <x v="3"/>
    <x v="15"/>
    <d v="2026-03-31T18:13:22"/>
  </r>
  <r>
    <n v="578"/>
    <s v="Cameron"/>
    <s v="Mendez"/>
    <n v="22"/>
    <x v="0"/>
    <x v="1"/>
    <x v="14"/>
    <d v="2026-03-31T18:14:10"/>
  </r>
  <r>
    <n v="579"/>
    <s v="Emily"/>
    <s v="Ramirez"/>
    <n v="51"/>
    <x v="2"/>
    <x v="1"/>
    <x v="1"/>
    <d v="2026-03-31T18:15:08"/>
  </r>
  <r>
    <n v="580"/>
    <s v="Tammy"/>
    <s v="Hall"/>
    <n v="65"/>
    <x v="0"/>
    <x v="3"/>
    <x v="16"/>
    <d v="2026-03-31T18:15:53"/>
  </r>
  <r>
    <n v="581"/>
    <s v="Nicole"/>
    <s v="Barnett"/>
    <n v="59"/>
    <x v="0"/>
    <x v="4"/>
    <x v="17"/>
    <d v="2026-03-31T18:16:45"/>
  </r>
  <r>
    <n v="582"/>
    <s v="Robert"/>
    <s v="Walker"/>
    <n v="52"/>
    <x v="1"/>
    <x v="2"/>
    <x v="12"/>
    <d v="2026-03-31T18:17:05"/>
  </r>
  <r>
    <n v="583"/>
    <s v="Jordan"/>
    <s v="Bryant"/>
    <n v="48"/>
    <x v="2"/>
    <x v="4"/>
    <x v="10"/>
    <d v="2026-03-31T18:17:59"/>
  </r>
  <r>
    <n v="584"/>
    <s v="Daniel"/>
    <s v="Cowan"/>
    <n v="56"/>
    <x v="2"/>
    <x v="0"/>
    <x v="5"/>
    <d v="2026-03-31T18:18:13"/>
  </r>
  <r>
    <n v="585"/>
    <s v="Michael"/>
    <s v="Johnson"/>
    <n v="60"/>
    <x v="0"/>
    <x v="6"/>
    <x v="12"/>
    <d v="2026-03-31T18:18:29"/>
  </r>
  <r>
    <n v="586"/>
    <s v="David"/>
    <s v="Lopez"/>
    <n v="62"/>
    <x v="1"/>
    <x v="6"/>
    <x v="9"/>
    <d v="2026-03-31T18:19:08"/>
  </r>
  <r>
    <n v="587"/>
    <s v="Kathy"/>
    <s v="Day"/>
    <n v="43"/>
    <x v="1"/>
    <x v="2"/>
    <x v="16"/>
    <d v="2026-03-31T18:20:05"/>
  </r>
  <r>
    <n v="588"/>
    <s v="Jacob"/>
    <s v="Giles"/>
    <n v="62"/>
    <x v="2"/>
    <x v="4"/>
    <x v="0"/>
    <d v="2026-03-31T18:20:48"/>
  </r>
  <r>
    <n v="589"/>
    <s v="Carolyn"/>
    <s v="Johns"/>
    <n v="23"/>
    <x v="2"/>
    <x v="5"/>
    <x v="4"/>
    <d v="2026-03-31T18:21:47"/>
  </r>
  <r>
    <n v="590"/>
    <s v="Sean"/>
    <s v="Mccormick"/>
    <n v="60"/>
    <x v="2"/>
    <x v="6"/>
    <x v="19"/>
    <d v="2026-03-31T18:22:14"/>
  </r>
  <r>
    <n v="591"/>
    <s v="Christian"/>
    <s v="Harris"/>
    <n v="48"/>
    <x v="0"/>
    <x v="6"/>
    <x v="14"/>
    <d v="2026-03-31T18:23:08"/>
  </r>
  <r>
    <n v="592"/>
    <s v="Isaiah"/>
    <s v="Walker"/>
    <n v="23"/>
    <x v="2"/>
    <x v="2"/>
    <x v="6"/>
    <d v="2026-03-31T18:23:43"/>
  </r>
  <r>
    <n v="593"/>
    <s v="Joshua"/>
    <s v="Jones"/>
    <n v="48"/>
    <x v="1"/>
    <x v="3"/>
    <x v="9"/>
    <d v="2026-03-31T18:24:27"/>
  </r>
  <r>
    <n v="594"/>
    <s v="Ronald"/>
    <s v="Ellis"/>
    <n v="55"/>
    <x v="2"/>
    <x v="2"/>
    <x v="8"/>
    <d v="2026-03-31T18:24:56"/>
  </r>
  <r>
    <n v="595"/>
    <s v="Beth"/>
    <s v="Roberts"/>
    <n v="48"/>
    <x v="1"/>
    <x v="6"/>
    <x v="19"/>
    <d v="2026-03-31T18:25:20"/>
  </r>
  <r>
    <n v="596"/>
    <s v="Melissa"/>
    <s v="Small"/>
    <n v="48"/>
    <x v="0"/>
    <x v="6"/>
    <x v="0"/>
    <d v="2026-03-31T18:25:45"/>
  </r>
  <r>
    <n v="597"/>
    <s v="Randall"/>
    <s v="Sanders"/>
    <n v="43"/>
    <x v="2"/>
    <x v="2"/>
    <x v="5"/>
    <d v="2026-03-31T18:26:06"/>
  </r>
  <r>
    <n v="598"/>
    <s v="David"/>
    <s v="Burns"/>
    <n v="34"/>
    <x v="1"/>
    <x v="3"/>
    <x v="13"/>
    <d v="2026-03-31T18:26:53"/>
  </r>
  <r>
    <n v="599"/>
    <s v="Adam"/>
    <s v="Edwards"/>
    <n v="47"/>
    <x v="2"/>
    <x v="4"/>
    <x v="11"/>
    <d v="2026-03-31T18:27:03"/>
  </r>
  <r>
    <n v="600"/>
    <s v="Stacy"/>
    <s v="Watkins"/>
    <n v="47"/>
    <x v="1"/>
    <x v="1"/>
    <x v="2"/>
    <d v="2026-03-31T18:27:30"/>
  </r>
  <r>
    <n v="601"/>
    <s v="Tracy"/>
    <s v="Chung"/>
    <n v="50"/>
    <x v="2"/>
    <x v="5"/>
    <x v="17"/>
    <d v="2026-03-31T18:28:26"/>
  </r>
  <r>
    <n v="602"/>
    <s v="Madeline"/>
    <s v="Henry"/>
    <n v="34"/>
    <x v="0"/>
    <x v="5"/>
    <x v="11"/>
    <d v="2026-03-31T18:28:45"/>
  </r>
  <r>
    <n v="603"/>
    <s v="Erica"/>
    <s v="Mcdaniel"/>
    <n v="66"/>
    <x v="0"/>
    <x v="2"/>
    <x v="13"/>
    <d v="2026-03-31T18:29:20"/>
  </r>
  <r>
    <n v="604"/>
    <s v="Ashley"/>
    <s v="Crosby"/>
    <n v="45"/>
    <x v="1"/>
    <x v="4"/>
    <x v="11"/>
    <d v="2026-03-31T18:29:50"/>
  </r>
  <r>
    <n v="605"/>
    <s v="Kayla"/>
    <s v="Thomas"/>
    <n v="63"/>
    <x v="0"/>
    <x v="4"/>
    <x v="18"/>
    <d v="2026-03-31T18:30:07"/>
  </r>
  <r>
    <n v="606"/>
    <s v="Sandra"/>
    <s v="Walker"/>
    <n v="35"/>
    <x v="1"/>
    <x v="1"/>
    <x v="10"/>
    <d v="2026-03-31T18:30:51"/>
  </r>
  <r>
    <n v="607"/>
    <s v="Paula"/>
    <s v="Sanders"/>
    <n v="40"/>
    <x v="0"/>
    <x v="4"/>
    <x v="18"/>
    <d v="2026-03-31T18:31:10"/>
  </r>
  <r>
    <n v="608"/>
    <s v="Jesse"/>
    <s v="Smith"/>
    <n v="70"/>
    <x v="1"/>
    <x v="2"/>
    <x v="18"/>
    <d v="2026-04-01T13:15:51"/>
  </r>
  <r>
    <n v="609"/>
    <s v="Joshua"/>
    <s v="Murray"/>
    <n v="18"/>
    <x v="2"/>
    <x v="5"/>
    <x v="13"/>
    <d v="2026-04-01T13:16:08"/>
  </r>
  <r>
    <n v="610"/>
    <s v="Sheila"/>
    <s v="Davis"/>
    <n v="36"/>
    <x v="1"/>
    <x v="6"/>
    <x v="8"/>
    <d v="2026-04-01T13:16:31"/>
  </r>
  <r>
    <n v="611"/>
    <s v="Christopher"/>
    <s v="Alvarez"/>
    <n v="60"/>
    <x v="1"/>
    <x v="6"/>
    <x v="17"/>
    <d v="2026-04-01T13:16:59"/>
  </r>
  <r>
    <n v="612"/>
    <s v="Cody"/>
    <s v="Perry"/>
    <n v="26"/>
    <x v="1"/>
    <x v="0"/>
    <x v="1"/>
    <d v="2026-04-01T13:17:46"/>
  </r>
  <r>
    <n v="613"/>
    <s v="James"/>
    <s v="Carlson"/>
    <n v="34"/>
    <x v="1"/>
    <x v="1"/>
    <x v="2"/>
    <d v="2026-04-01T13:18:46"/>
  </r>
  <r>
    <n v="614"/>
    <s v="Kathleen"/>
    <s v="Rodriguez"/>
    <n v="38"/>
    <x v="2"/>
    <x v="6"/>
    <x v="5"/>
    <d v="2026-04-01T13:18:56"/>
  </r>
  <r>
    <n v="615"/>
    <s v="Logan"/>
    <s v="Burke"/>
    <n v="22"/>
    <x v="0"/>
    <x v="2"/>
    <x v="17"/>
    <d v="2026-04-01T13:19:54"/>
  </r>
  <r>
    <n v="616"/>
    <s v="Stephen"/>
    <s v="Sanders"/>
    <n v="67"/>
    <x v="2"/>
    <x v="3"/>
    <x v="7"/>
    <d v="2026-04-01T13:20:28"/>
  </r>
  <r>
    <n v="617"/>
    <s v="Angela"/>
    <s v="Vazquez"/>
    <n v="44"/>
    <x v="1"/>
    <x v="0"/>
    <x v="12"/>
    <d v="2026-04-01T13:21:07"/>
  </r>
  <r>
    <n v="618"/>
    <s v="Christine"/>
    <s v="Clark"/>
    <n v="33"/>
    <x v="1"/>
    <x v="3"/>
    <x v="5"/>
    <d v="2026-04-01T13:21:59"/>
  </r>
  <r>
    <n v="619"/>
    <s v="Suzanne"/>
    <s v="Goodman"/>
    <n v="48"/>
    <x v="0"/>
    <x v="2"/>
    <x v="14"/>
    <d v="2026-04-01T13:22:43"/>
  </r>
  <r>
    <n v="620"/>
    <s v="Gail"/>
    <s v="Johnson"/>
    <n v="57"/>
    <x v="1"/>
    <x v="3"/>
    <x v="11"/>
    <d v="2026-04-01T13:23:18"/>
  </r>
  <r>
    <n v="621"/>
    <s v="Tanya"/>
    <s v="Bolton"/>
    <n v="24"/>
    <x v="0"/>
    <x v="3"/>
    <x v="2"/>
    <d v="2026-04-01T13:23:48"/>
  </r>
  <r>
    <n v="622"/>
    <s v="Patrick"/>
    <s v="Walker"/>
    <n v="25"/>
    <x v="0"/>
    <x v="3"/>
    <x v="7"/>
    <d v="2026-04-01T13:24:07"/>
  </r>
  <r>
    <n v="623"/>
    <s v="Brian"/>
    <s v="Reid"/>
    <n v="18"/>
    <x v="0"/>
    <x v="3"/>
    <x v="16"/>
    <d v="2026-04-01T13:24:58"/>
  </r>
  <r>
    <n v="624"/>
    <s v="Jesus"/>
    <s v="Chavez"/>
    <n v="43"/>
    <x v="1"/>
    <x v="6"/>
    <x v="4"/>
    <d v="2026-04-01T13:25:58"/>
  </r>
  <r>
    <n v="625"/>
    <s v="Douglas"/>
    <s v="Campbell"/>
    <n v="25"/>
    <x v="1"/>
    <x v="1"/>
    <x v="18"/>
    <d v="2026-04-01T13:26:19"/>
  </r>
  <r>
    <n v="626"/>
    <s v="Frank"/>
    <s v="Webb"/>
    <n v="20"/>
    <x v="0"/>
    <x v="3"/>
    <x v="1"/>
    <d v="2026-04-01T13:26:49"/>
  </r>
  <r>
    <n v="627"/>
    <s v="Sherri"/>
    <s v="Taylor"/>
    <n v="63"/>
    <x v="0"/>
    <x v="4"/>
    <x v="10"/>
    <d v="2026-04-01T13:27:01"/>
  </r>
  <r>
    <n v="628"/>
    <s v="Luke"/>
    <s v="Contreras"/>
    <n v="47"/>
    <x v="2"/>
    <x v="4"/>
    <x v="17"/>
    <d v="2026-04-01T13:27:31"/>
  </r>
  <r>
    <n v="629"/>
    <s v="Jennifer"/>
    <s v="Lee"/>
    <n v="45"/>
    <x v="2"/>
    <x v="4"/>
    <x v="16"/>
    <d v="2026-04-01T13:28:03"/>
  </r>
  <r>
    <n v="630"/>
    <s v="Timothy"/>
    <s v="Myers"/>
    <n v="57"/>
    <x v="2"/>
    <x v="0"/>
    <x v="0"/>
    <d v="2026-04-01T13:28:49"/>
  </r>
  <r>
    <n v="631"/>
    <s v="Martin"/>
    <s v="Robinson"/>
    <n v="50"/>
    <x v="2"/>
    <x v="4"/>
    <x v="0"/>
    <d v="2026-04-01T13:29:03"/>
  </r>
  <r>
    <n v="632"/>
    <s v="Alexander"/>
    <s v="Burke"/>
    <n v="33"/>
    <x v="2"/>
    <x v="1"/>
    <x v="6"/>
    <d v="2026-04-01T13:29:27"/>
  </r>
  <r>
    <n v="633"/>
    <s v="Alexandra"/>
    <s v="Simmons"/>
    <n v="64"/>
    <x v="0"/>
    <x v="5"/>
    <x v="6"/>
    <d v="2026-04-01T13:29:41"/>
  </r>
  <r>
    <n v="634"/>
    <s v="Richard"/>
    <s v="Morris"/>
    <n v="40"/>
    <x v="2"/>
    <x v="1"/>
    <x v="16"/>
    <d v="2026-04-01T13:30:13"/>
  </r>
  <r>
    <n v="635"/>
    <s v="Shawn"/>
    <s v="Rhodes"/>
    <n v="33"/>
    <x v="1"/>
    <x v="1"/>
    <x v="3"/>
    <d v="2026-04-01T13:30:31"/>
  </r>
  <r>
    <n v="636"/>
    <s v="Jose"/>
    <s v="Mcconnell"/>
    <n v="19"/>
    <x v="0"/>
    <x v="3"/>
    <x v="16"/>
    <d v="2026-04-01T13:30:41"/>
  </r>
  <r>
    <n v="637"/>
    <s v="Destiny"/>
    <s v="Lee"/>
    <n v="60"/>
    <x v="1"/>
    <x v="2"/>
    <x v="2"/>
    <d v="2026-04-01T13:30:58"/>
  </r>
  <r>
    <n v="638"/>
    <s v="Kimberly"/>
    <s v="Joyce"/>
    <n v="28"/>
    <x v="0"/>
    <x v="6"/>
    <x v="5"/>
    <d v="2026-04-01T13:31:48"/>
  </r>
  <r>
    <n v="639"/>
    <s v="Todd"/>
    <s v="Walter"/>
    <n v="41"/>
    <x v="2"/>
    <x v="5"/>
    <x v="18"/>
    <d v="2026-04-01T13:32:30"/>
  </r>
  <r>
    <n v="640"/>
    <s v="Richard"/>
    <s v="Campbell"/>
    <n v="21"/>
    <x v="0"/>
    <x v="2"/>
    <x v="4"/>
    <d v="2026-04-01T13:32:54"/>
  </r>
  <r>
    <n v="641"/>
    <s v="Elizabeth"/>
    <s v="Boone"/>
    <n v="41"/>
    <x v="1"/>
    <x v="1"/>
    <x v="0"/>
    <d v="2026-04-01T13:33:36"/>
  </r>
  <r>
    <n v="642"/>
    <s v="Samantha"/>
    <s v="Kaufman"/>
    <n v="27"/>
    <x v="0"/>
    <x v="6"/>
    <x v="16"/>
    <d v="2026-04-01T13:34:18"/>
  </r>
  <r>
    <n v="643"/>
    <s v="Maria"/>
    <s v="Lopez"/>
    <n v="21"/>
    <x v="2"/>
    <x v="3"/>
    <x v="2"/>
    <d v="2026-04-01T13:34:40"/>
  </r>
  <r>
    <n v="644"/>
    <s v="Haley"/>
    <s v="Freeman"/>
    <n v="50"/>
    <x v="2"/>
    <x v="3"/>
    <x v="12"/>
    <d v="2026-04-01T13:35:39"/>
  </r>
  <r>
    <n v="645"/>
    <s v="Scott"/>
    <s v="Dennis"/>
    <n v="58"/>
    <x v="2"/>
    <x v="4"/>
    <x v="13"/>
    <d v="2026-04-01T13:35:57"/>
  </r>
  <r>
    <n v="646"/>
    <s v="Lisa"/>
    <s v="Paul"/>
    <n v="49"/>
    <x v="1"/>
    <x v="1"/>
    <x v="2"/>
    <d v="2026-04-01T13:36:33"/>
  </r>
  <r>
    <n v="647"/>
    <s v="Nathan"/>
    <s v="Rubio"/>
    <n v="65"/>
    <x v="1"/>
    <x v="0"/>
    <x v="0"/>
    <d v="2026-04-01T13:36:49"/>
  </r>
  <r>
    <n v="648"/>
    <s v="Christopher"/>
    <s v="Hall"/>
    <n v="26"/>
    <x v="1"/>
    <x v="5"/>
    <x v="9"/>
    <d v="2026-04-01T13:37:43"/>
  </r>
  <r>
    <n v="649"/>
    <s v="Richard"/>
    <s v="Diaz"/>
    <n v="36"/>
    <x v="1"/>
    <x v="5"/>
    <x v="1"/>
    <d v="2026-04-01T13:38:18"/>
  </r>
  <r>
    <n v="650"/>
    <s v="Brian"/>
    <s v="Keith"/>
    <n v="39"/>
    <x v="0"/>
    <x v="2"/>
    <x v="12"/>
    <d v="2026-04-01T13:38:32"/>
  </r>
  <r>
    <n v="651"/>
    <s v="Jason"/>
    <s v="Brown"/>
    <n v="64"/>
    <x v="0"/>
    <x v="2"/>
    <x v="12"/>
    <d v="2026-04-01T13:38:49"/>
  </r>
  <r>
    <n v="652"/>
    <s v="Alexis"/>
    <s v="Gordon"/>
    <n v="18"/>
    <x v="0"/>
    <x v="1"/>
    <x v="12"/>
    <d v="2026-04-01T13:39:35"/>
  </r>
  <r>
    <n v="653"/>
    <s v="Edward"/>
    <s v="Murphy"/>
    <n v="20"/>
    <x v="2"/>
    <x v="6"/>
    <x v="7"/>
    <d v="2026-04-01T13:40:07"/>
  </r>
  <r>
    <n v="654"/>
    <s v="Michael"/>
    <s v="Gonzalez"/>
    <n v="68"/>
    <x v="0"/>
    <x v="1"/>
    <x v="15"/>
    <d v="2026-04-01T13:41:04"/>
  </r>
  <r>
    <n v="655"/>
    <s v="Collin"/>
    <s v="Norton"/>
    <n v="21"/>
    <x v="2"/>
    <x v="2"/>
    <x v="1"/>
    <d v="2026-04-01T13:41:26"/>
  </r>
  <r>
    <n v="656"/>
    <s v="Thomas"/>
    <s v="Anderson"/>
    <n v="43"/>
    <x v="2"/>
    <x v="4"/>
    <x v="2"/>
    <d v="2026-04-01T13:42:18"/>
  </r>
  <r>
    <n v="657"/>
    <s v="Lauren"/>
    <s v="Anderson"/>
    <n v="18"/>
    <x v="0"/>
    <x v="3"/>
    <x v="10"/>
    <d v="2026-04-01T13:43:13"/>
  </r>
  <r>
    <n v="658"/>
    <s v="Theodore"/>
    <s v="Mcdonald"/>
    <n v="68"/>
    <x v="2"/>
    <x v="2"/>
    <x v="7"/>
    <d v="2026-04-01T13:43:27"/>
  </r>
  <r>
    <n v="659"/>
    <s v="Michelle"/>
    <s v="Schmidt"/>
    <n v="41"/>
    <x v="1"/>
    <x v="5"/>
    <x v="9"/>
    <d v="2026-04-01T13:43:52"/>
  </r>
  <r>
    <n v="660"/>
    <s v="Amy"/>
    <s v="White"/>
    <n v="46"/>
    <x v="2"/>
    <x v="0"/>
    <x v="3"/>
    <d v="2026-04-01T13:44:19"/>
  </r>
  <r>
    <n v="661"/>
    <s v="Lori"/>
    <s v="Santiago"/>
    <n v="46"/>
    <x v="1"/>
    <x v="5"/>
    <x v="10"/>
    <d v="2026-04-01T13:45:07"/>
  </r>
  <r>
    <n v="662"/>
    <s v="Kerry"/>
    <s v="Pham"/>
    <n v="46"/>
    <x v="0"/>
    <x v="3"/>
    <x v="19"/>
    <d v="2026-04-01T13:45:40"/>
  </r>
  <r>
    <n v="663"/>
    <s v="Rachel"/>
    <s v="Bowen"/>
    <n v="34"/>
    <x v="2"/>
    <x v="5"/>
    <x v="4"/>
    <d v="2026-04-01T13:46:34"/>
  </r>
  <r>
    <n v="664"/>
    <s v="Frank"/>
    <s v="Jones"/>
    <n v="26"/>
    <x v="1"/>
    <x v="4"/>
    <x v="2"/>
    <d v="2026-04-01T13:47:17"/>
  </r>
  <r>
    <n v="665"/>
    <s v="Daniel"/>
    <s v="Roach"/>
    <n v="64"/>
    <x v="2"/>
    <x v="3"/>
    <x v="14"/>
    <d v="2026-04-01T13:48:08"/>
  </r>
  <r>
    <n v="666"/>
    <s v="Walter"/>
    <s v="Nelson"/>
    <n v="27"/>
    <x v="1"/>
    <x v="3"/>
    <x v="5"/>
    <d v="2026-04-01T13:48:30"/>
  </r>
  <r>
    <n v="667"/>
    <s v="Shawn"/>
    <s v="Diaz"/>
    <n v="48"/>
    <x v="0"/>
    <x v="6"/>
    <x v="14"/>
    <d v="2026-04-01T13:48:49"/>
  </r>
  <r>
    <n v="668"/>
    <s v="Brittany"/>
    <s v="Brown"/>
    <n v="35"/>
    <x v="1"/>
    <x v="0"/>
    <x v="8"/>
    <d v="2026-04-01T13:49:40"/>
  </r>
  <r>
    <n v="669"/>
    <s v="Andrea"/>
    <s v="Clarke"/>
    <n v="42"/>
    <x v="2"/>
    <x v="4"/>
    <x v="18"/>
    <d v="2026-04-01T13:50:18"/>
  </r>
  <r>
    <n v="670"/>
    <s v="Lauren"/>
    <s v="Roy"/>
    <n v="70"/>
    <x v="2"/>
    <x v="6"/>
    <x v="7"/>
    <d v="2026-04-01T13:50:32"/>
  </r>
  <r>
    <n v="671"/>
    <s v="Christopher"/>
    <s v="Schneider"/>
    <n v="19"/>
    <x v="0"/>
    <x v="1"/>
    <x v="5"/>
    <d v="2026-04-01T13:51:18"/>
  </r>
  <r>
    <n v="672"/>
    <s v="Michael"/>
    <s v="Bartlett"/>
    <n v="54"/>
    <x v="1"/>
    <x v="5"/>
    <x v="19"/>
    <d v="2026-04-01T13:52:14"/>
  </r>
  <r>
    <n v="673"/>
    <s v="Erik"/>
    <s v="Carr"/>
    <n v="44"/>
    <x v="1"/>
    <x v="3"/>
    <x v="7"/>
    <d v="2026-04-01T13:53:02"/>
  </r>
  <r>
    <n v="674"/>
    <s v="Garrett"/>
    <s v="Browning"/>
    <n v="44"/>
    <x v="0"/>
    <x v="2"/>
    <x v="14"/>
    <d v="2026-04-01T13:53:56"/>
  </r>
  <r>
    <n v="675"/>
    <s v="Lisa"/>
    <s v="Combs"/>
    <n v="26"/>
    <x v="2"/>
    <x v="2"/>
    <x v="4"/>
    <d v="2026-04-01T13:54:36"/>
  </r>
  <r>
    <n v="676"/>
    <s v="Marcus"/>
    <s v="White"/>
    <n v="25"/>
    <x v="1"/>
    <x v="4"/>
    <x v="8"/>
    <d v="2026-04-01T13:55:16"/>
  </r>
  <r>
    <n v="677"/>
    <s v="Ashley"/>
    <s v="Hale"/>
    <n v="38"/>
    <x v="1"/>
    <x v="6"/>
    <x v="8"/>
    <d v="2026-04-01T13:55:36"/>
  </r>
  <r>
    <n v="678"/>
    <s v="Kelsey"/>
    <s v="Green"/>
    <n v="60"/>
    <x v="2"/>
    <x v="5"/>
    <x v="2"/>
    <d v="2026-04-01T13:56:27"/>
  </r>
  <r>
    <n v="679"/>
    <s v="Thomas"/>
    <s v="Perez"/>
    <n v="23"/>
    <x v="1"/>
    <x v="6"/>
    <x v="16"/>
    <d v="2026-04-01T13:57:22"/>
  </r>
  <r>
    <n v="680"/>
    <s v="Lisa"/>
    <s v="Kennedy"/>
    <n v="64"/>
    <x v="0"/>
    <x v="2"/>
    <x v="9"/>
    <d v="2026-04-01T13:58:02"/>
  </r>
  <r>
    <n v="681"/>
    <s v="Rachel"/>
    <s v="Phillips"/>
    <n v="29"/>
    <x v="0"/>
    <x v="1"/>
    <x v="14"/>
    <d v="2026-04-01T13:58:12"/>
  </r>
  <r>
    <n v="682"/>
    <s v="Nancy"/>
    <s v="Mendoza"/>
    <n v="20"/>
    <x v="1"/>
    <x v="1"/>
    <x v="14"/>
    <d v="2026-04-01T13:58:48"/>
  </r>
  <r>
    <n v="683"/>
    <s v="Tommy"/>
    <s v="Norton"/>
    <n v="43"/>
    <x v="0"/>
    <x v="5"/>
    <x v="11"/>
    <d v="2026-04-01T13:59:03"/>
  </r>
  <r>
    <n v="684"/>
    <s v="Timothy"/>
    <s v="Rush"/>
    <n v="54"/>
    <x v="2"/>
    <x v="2"/>
    <x v="1"/>
    <d v="2026-04-01T13:59:56"/>
  </r>
  <r>
    <n v="685"/>
    <s v="Jared"/>
    <s v="Johnson"/>
    <n v="39"/>
    <x v="2"/>
    <x v="4"/>
    <x v="16"/>
    <d v="2026-04-01T14:00:18"/>
  </r>
  <r>
    <n v="686"/>
    <s v="Kristopher"/>
    <s v="Bartlett"/>
    <n v="45"/>
    <x v="2"/>
    <x v="1"/>
    <x v="18"/>
    <d v="2026-04-01T14:00:44"/>
  </r>
  <r>
    <n v="687"/>
    <s v="Jane"/>
    <s v="Davis"/>
    <n v="33"/>
    <x v="1"/>
    <x v="2"/>
    <x v="6"/>
    <d v="2026-04-01T14:00:57"/>
  </r>
  <r>
    <n v="688"/>
    <s v="James"/>
    <s v="Williams"/>
    <n v="36"/>
    <x v="0"/>
    <x v="4"/>
    <x v="17"/>
    <d v="2026-04-01T14:01:22"/>
  </r>
  <r>
    <n v="689"/>
    <s v="Ronald"/>
    <s v="Greer"/>
    <n v="47"/>
    <x v="2"/>
    <x v="2"/>
    <x v="6"/>
    <d v="2026-04-01T14:02:18"/>
  </r>
  <r>
    <n v="690"/>
    <s v="Karen"/>
    <s v="Hess"/>
    <n v="22"/>
    <x v="1"/>
    <x v="2"/>
    <x v="17"/>
    <d v="2026-04-01T14:02:53"/>
  </r>
  <r>
    <n v="691"/>
    <s v="Ronnie"/>
    <s v="Cline"/>
    <n v="21"/>
    <x v="1"/>
    <x v="6"/>
    <x v="7"/>
    <d v="2026-04-01T14:03:06"/>
  </r>
  <r>
    <n v="692"/>
    <s v="Christopher"/>
    <s v="Mathews"/>
    <n v="64"/>
    <x v="2"/>
    <x v="1"/>
    <x v="13"/>
    <d v="2026-04-01T14:04:05"/>
  </r>
  <r>
    <n v="693"/>
    <s v="April"/>
    <s v="Padilla"/>
    <n v="21"/>
    <x v="2"/>
    <x v="1"/>
    <x v="9"/>
    <d v="2026-04-01T14:04:17"/>
  </r>
  <r>
    <n v="694"/>
    <s v="Brian"/>
    <s v="Vargas"/>
    <n v="55"/>
    <x v="0"/>
    <x v="2"/>
    <x v="14"/>
    <d v="2026-04-01T14:04:54"/>
  </r>
  <r>
    <n v="695"/>
    <s v="James"/>
    <s v="Patterson"/>
    <n v="64"/>
    <x v="0"/>
    <x v="4"/>
    <x v="10"/>
    <d v="2026-04-01T14:05:08"/>
  </r>
  <r>
    <n v="696"/>
    <s v="Dennis"/>
    <s v="Fields"/>
    <n v="21"/>
    <x v="0"/>
    <x v="0"/>
    <x v="1"/>
    <d v="2026-04-01T14:06:03"/>
  </r>
  <r>
    <n v="697"/>
    <s v="Ronald"/>
    <s v="Taylor"/>
    <n v="52"/>
    <x v="2"/>
    <x v="1"/>
    <x v="6"/>
    <d v="2026-04-01T14:07:00"/>
  </r>
  <r>
    <n v="698"/>
    <s v="Jessica"/>
    <s v="Ayers"/>
    <n v="32"/>
    <x v="1"/>
    <x v="5"/>
    <x v="14"/>
    <d v="2026-04-01T14:07:27"/>
  </r>
  <r>
    <n v="699"/>
    <s v="James"/>
    <s v="Trevino"/>
    <n v="29"/>
    <x v="1"/>
    <x v="2"/>
    <x v="8"/>
    <d v="2026-04-01T14:08:25"/>
  </r>
  <r>
    <n v="700"/>
    <s v="Shannon"/>
    <s v="Bauer"/>
    <n v="38"/>
    <x v="2"/>
    <x v="5"/>
    <x v="11"/>
    <d v="2026-04-01T14:08:35"/>
  </r>
  <r>
    <n v="701"/>
    <s v="Garrett"/>
    <s v="Kerr"/>
    <n v="32"/>
    <x v="0"/>
    <x v="6"/>
    <x v="3"/>
    <d v="2026-04-01T14:08:47"/>
  </r>
  <r>
    <n v="702"/>
    <s v="Judy"/>
    <s v="Smith"/>
    <n v="20"/>
    <x v="2"/>
    <x v="2"/>
    <x v="7"/>
    <d v="2026-04-01T14:09:03"/>
  </r>
  <r>
    <n v="703"/>
    <s v="Matthew"/>
    <s v="Bird"/>
    <n v="36"/>
    <x v="1"/>
    <x v="0"/>
    <x v="1"/>
    <d v="2026-04-01T14:09:38"/>
  </r>
  <r>
    <n v="704"/>
    <s v="Jason"/>
    <s v="Pennington"/>
    <n v="64"/>
    <x v="0"/>
    <x v="4"/>
    <x v="4"/>
    <d v="2026-04-01T14:10:15"/>
  </r>
  <r>
    <n v="705"/>
    <s v="Joseph"/>
    <s v="Tucker"/>
    <n v="34"/>
    <x v="1"/>
    <x v="2"/>
    <x v="2"/>
    <d v="2026-04-01T14:10:51"/>
  </r>
  <r>
    <n v="706"/>
    <s v="Veronica"/>
    <s v="Hall"/>
    <n v="45"/>
    <x v="2"/>
    <x v="4"/>
    <x v="16"/>
    <d v="2026-04-01T14:11:04"/>
  </r>
  <r>
    <n v="707"/>
    <s v="Mackenzie"/>
    <s v="Dean"/>
    <n v="37"/>
    <x v="0"/>
    <x v="0"/>
    <x v="1"/>
    <d v="2026-04-01T14:12:02"/>
  </r>
  <r>
    <n v="708"/>
    <s v="Michael"/>
    <s v="Keller"/>
    <n v="27"/>
    <x v="2"/>
    <x v="1"/>
    <x v="8"/>
    <d v="2026-04-07T13:33:43"/>
  </r>
  <r>
    <n v="709"/>
    <s v="Elizabeth"/>
    <s v="Mckinney"/>
    <n v="43"/>
    <x v="0"/>
    <x v="2"/>
    <x v="2"/>
    <d v="2026-04-07T13:34:42"/>
  </r>
  <r>
    <n v="710"/>
    <s v="Anthony"/>
    <s v="Burnett"/>
    <n v="40"/>
    <x v="2"/>
    <x v="1"/>
    <x v="4"/>
    <d v="2026-04-07T13:35:28"/>
  </r>
  <r>
    <n v="711"/>
    <s v="Anthony"/>
    <s v="Bradford"/>
    <n v="55"/>
    <x v="2"/>
    <x v="1"/>
    <x v="0"/>
    <d v="2026-04-07T13:36:23"/>
  </r>
  <r>
    <n v="712"/>
    <s v="Samantha"/>
    <s v="Miller"/>
    <n v="53"/>
    <x v="2"/>
    <x v="1"/>
    <x v="9"/>
    <d v="2026-04-07T13:36:40"/>
  </r>
  <r>
    <n v="713"/>
    <s v="William"/>
    <s v="Perry"/>
    <n v="21"/>
    <x v="1"/>
    <x v="4"/>
    <x v="5"/>
    <d v="2026-04-07T13:36:53"/>
  </r>
  <r>
    <n v="714"/>
    <s v="Laura"/>
    <s v="York"/>
    <n v="29"/>
    <x v="2"/>
    <x v="2"/>
    <x v="15"/>
    <d v="2026-04-07T13:37:06"/>
  </r>
  <r>
    <n v="715"/>
    <s v="Katherine"/>
    <s v="Small"/>
    <n v="62"/>
    <x v="2"/>
    <x v="4"/>
    <x v="11"/>
    <d v="2026-04-07T13:37:24"/>
  </r>
  <r>
    <n v="716"/>
    <s v="Jim"/>
    <s v="Johnson"/>
    <n v="65"/>
    <x v="0"/>
    <x v="4"/>
    <x v="8"/>
    <d v="2026-04-07T13:38:10"/>
  </r>
  <r>
    <n v="717"/>
    <s v="Marissa"/>
    <s v="Johnson"/>
    <n v="51"/>
    <x v="1"/>
    <x v="6"/>
    <x v="9"/>
    <d v="2026-04-07T13:38:45"/>
  </r>
  <r>
    <n v="718"/>
    <s v="Connie"/>
    <s v="Lowery"/>
    <n v="70"/>
    <x v="1"/>
    <x v="0"/>
    <x v="12"/>
    <d v="2026-04-07T13:39:19"/>
  </r>
  <r>
    <n v="719"/>
    <s v="James"/>
    <s v="Perry"/>
    <n v="58"/>
    <x v="1"/>
    <x v="2"/>
    <x v="0"/>
    <d v="2026-04-07T13:40:18"/>
  </r>
  <r>
    <n v="720"/>
    <s v="Angela"/>
    <s v="Hudson"/>
    <n v="20"/>
    <x v="0"/>
    <x v="5"/>
    <x v="18"/>
    <d v="2026-04-07T13:40:52"/>
  </r>
  <r>
    <n v="721"/>
    <s v="Mark"/>
    <s v="Cantrell"/>
    <n v="27"/>
    <x v="0"/>
    <x v="2"/>
    <x v="2"/>
    <d v="2026-04-07T13:41:50"/>
  </r>
  <r>
    <n v="722"/>
    <s v="Bethany"/>
    <s v="Park"/>
    <n v="70"/>
    <x v="0"/>
    <x v="3"/>
    <x v="1"/>
    <d v="2026-04-07T13:42:39"/>
  </r>
  <r>
    <n v="723"/>
    <s v="Charles"/>
    <s v="Lopez"/>
    <n v="70"/>
    <x v="0"/>
    <x v="2"/>
    <x v="16"/>
    <d v="2026-04-07T13:43:24"/>
  </r>
  <r>
    <n v="724"/>
    <s v="Amanda"/>
    <s v="Fuentes"/>
    <n v="34"/>
    <x v="1"/>
    <x v="0"/>
    <x v="11"/>
    <d v="2026-04-07T13:44:16"/>
  </r>
  <r>
    <n v="725"/>
    <s v="Kathy"/>
    <s v="Frost"/>
    <n v="36"/>
    <x v="1"/>
    <x v="6"/>
    <x v="11"/>
    <d v="2026-04-07T13:44:47"/>
  </r>
  <r>
    <n v="726"/>
    <s v="Elizabeth"/>
    <s v="Davies"/>
    <n v="32"/>
    <x v="1"/>
    <x v="0"/>
    <x v="3"/>
    <d v="2026-04-07T13:45:20"/>
  </r>
  <r>
    <n v="727"/>
    <s v="Lauren"/>
    <s v="Bender"/>
    <n v="61"/>
    <x v="0"/>
    <x v="4"/>
    <x v="3"/>
    <d v="2026-04-07T13:45:43"/>
  </r>
  <r>
    <n v="728"/>
    <s v="Thomas"/>
    <s v="Figueroa"/>
    <n v="64"/>
    <x v="2"/>
    <x v="0"/>
    <x v="7"/>
    <d v="2026-04-07T13:46:35"/>
  </r>
  <r>
    <n v="729"/>
    <s v="Michael"/>
    <s v="Adkins"/>
    <n v="49"/>
    <x v="2"/>
    <x v="1"/>
    <x v="13"/>
    <d v="2026-04-07T13:47:16"/>
  </r>
  <r>
    <n v="730"/>
    <s v="Andre"/>
    <s v="Welch"/>
    <n v="61"/>
    <x v="1"/>
    <x v="5"/>
    <x v="13"/>
    <d v="2026-04-07T13:48:15"/>
  </r>
  <r>
    <n v="731"/>
    <s v="Ryan"/>
    <s v="Brewer"/>
    <n v="32"/>
    <x v="0"/>
    <x v="4"/>
    <x v="8"/>
    <d v="2026-04-07T13:48:48"/>
  </r>
  <r>
    <n v="732"/>
    <s v="Jason"/>
    <s v="Wright"/>
    <n v="42"/>
    <x v="2"/>
    <x v="6"/>
    <x v="18"/>
    <d v="2026-04-07T13:49:33"/>
  </r>
  <r>
    <n v="733"/>
    <s v="Michael"/>
    <s v="Perez"/>
    <n v="31"/>
    <x v="1"/>
    <x v="6"/>
    <x v="18"/>
    <d v="2026-04-07T13:50:08"/>
  </r>
  <r>
    <n v="734"/>
    <s v="Lauren"/>
    <s v="Phillips"/>
    <n v="36"/>
    <x v="2"/>
    <x v="0"/>
    <x v="5"/>
    <d v="2026-04-07T13:50:42"/>
  </r>
  <r>
    <n v="735"/>
    <s v="Veronica"/>
    <s v="Cobb"/>
    <n v="34"/>
    <x v="0"/>
    <x v="0"/>
    <x v="13"/>
    <d v="2026-04-07T13:51:40"/>
  </r>
  <r>
    <n v="736"/>
    <s v="Raymond"/>
    <s v="Hill"/>
    <n v="32"/>
    <x v="0"/>
    <x v="3"/>
    <x v="7"/>
    <d v="2026-04-07T13:52:24"/>
  </r>
  <r>
    <n v="737"/>
    <s v="Glenda"/>
    <s v="Gilbert"/>
    <n v="31"/>
    <x v="1"/>
    <x v="4"/>
    <x v="1"/>
    <d v="2026-04-07T13:52:55"/>
  </r>
  <r>
    <n v="738"/>
    <s v="Joseph"/>
    <s v="Warner"/>
    <n v="25"/>
    <x v="0"/>
    <x v="5"/>
    <x v="11"/>
    <d v="2026-04-07T13:53:39"/>
  </r>
  <r>
    <n v="739"/>
    <s v="Melissa"/>
    <s v="Haas"/>
    <n v="55"/>
    <x v="0"/>
    <x v="0"/>
    <x v="8"/>
    <d v="2026-04-07T13:54:25"/>
  </r>
  <r>
    <n v="740"/>
    <s v="Diana"/>
    <s v="Acosta"/>
    <n v="65"/>
    <x v="0"/>
    <x v="2"/>
    <x v="1"/>
    <d v="2026-04-07T13:55:03"/>
  </r>
  <r>
    <n v="741"/>
    <s v="Erin"/>
    <s v="Cameron"/>
    <n v="55"/>
    <x v="2"/>
    <x v="3"/>
    <x v="9"/>
    <d v="2026-04-07T13:55:18"/>
  </r>
  <r>
    <n v="742"/>
    <s v="Samantha"/>
    <s v="Johnson"/>
    <n v="55"/>
    <x v="1"/>
    <x v="3"/>
    <x v="11"/>
    <d v="2026-04-07T13:55:35"/>
  </r>
  <r>
    <n v="743"/>
    <s v="Jennifer"/>
    <s v="Adams"/>
    <n v="43"/>
    <x v="2"/>
    <x v="4"/>
    <x v="18"/>
    <d v="2026-04-07T13:56:07"/>
  </r>
  <r>
    <n v="744"/>
    <s v="Christopher"/>
    <s v="Hull"/>
    <n v="29"/>
    <x v="1"/>
    <x v="5"/>
    <x v="8"/>
    <d v="2026-04-07T13:56:30"/>
  </r>
  <r>
    <n v="745"/>
    <s v="Larry"/>
    <s v="Wade"/>
    <n v="52"/>
    <x v="0"/>
    <x v="0"/>
    <x v="5"/>
    <d v="2026-04-07T13:57:12"/>
  </r>
  <r>
    <n v="746"/>
    <s v="Gloria"/>
    <s v="Harris"/>
    <n v="49"/>
    <x v="1"/>
    <x v="0"/>
    <x v="7"/>
    <d v="2026-04-07T13:58:06"/>
  </r>
  <r>
    <n v="747"/>
    <s v="Jessica"/>
    <s v="Clark"/>
    <n v="32"/>
    <x v="2"/>
    <x v="5"/>
    <x v="3"/>
    <d v="2026-04-07T13:58:56"/>
  </r>
  <r>
    <n v="748"/>
    <s v="Jose"/>
    <s v="White"/>
    <n v="62"/>
    <x v="0"/>
    <x v="3"/>
    <x v="7"/>
    <d v="2026-04-07T13:59:40"/>
  </r>
  <r>
    <n v="749"/>
    <s v="Ann"/>
    <s v="Watson"/>
    <n v="18"/>
    <x v="2"/>
    <x v="1"/>
    <x v="13"/>
    <d v="2026-04-07T13:59:59"/>
  </r>
  <r>
    <n v="750"/>
    <s v="James"/>
    <s v="Frazier"/>
    <n v="20"/>
    <x v="2"/>
    <x v="3"/>
    <x v="2"/>
    <d v="2026-04-07T14:00:44"/>
  </r>
  <r>
    <n v="751"/>
    <s v="Joanna"/>
    <s v="Waters"/>
    <n v="20"/>
    <x v="1"/>
    <x v="1"/>
    <x v="0"/>
    <d v="2026-04-07T14:01:12"/>
  </r>
  <r>
    <n v="752"/>
    <s v="Leslie"/>
    <s v="Smith"/>
    <n v="38"/>
    <x v="0"/>
    <x v="1"/>
    <x v="10"/>
    <d v="2026-04-07T14:02:12"/>
  </r>
  <r>
    <n v="753"/>
    <s v="Anthony"/>
    <s v="Davis"/>
    <n v="50"/>
    <x v="2"/>
    <x v="3"/>
    <x v="0"/>
    <d v="2026-04-07T14:03:01"/>
  </r>
  <r>
    <n v="754"/>
    <s v="Patricia"/>
    <s v="Wilson"/>
    <n v="33"/>
    <x v="0"/>
    <x v="3"/>
    <x v="16"/>
    <d v="2026-04-07T14:03:54"/>
  </r>
  <r>
    <n v="755"/>
    <s v="Colton"/>
    <s v="Mitchell"/>
    <n v="48"/>
    <x v="1"/>
    <x v="2"/>
    <x v="3"/>
    <d v="2026-04-07T14:04:08"/>
  </r>
  <r>
    <n v="756"/>
    <s v="Roger"/>
    <s v="Sutton"/>
    <n v="55"/>
    <x v="1"/>
    <x v="6"/>
    <x v="15"/>
    <d v="2026-04-07T14:04:40"/>
  </r>
  <r>
    <n v="757"/>
    <s v="Susan"/>
    <s v="Lewis"/>
    <n v="50"/>
    <x v="0"/>
    <x v="3"/>
    <x v="1"/>
    <d v="2026-04-07T14:04:57"/>
  </r>
  <r>
    <n v="758"/>
    <s v="Lisa"/>
    <s v="Rubio"/>
    <n v="55"/>
    <x v="1"/>
    <x v="1"/>
    <x v="15"/>
    <d v="2026-04-07T14:05:23"/>
  </r>
  <r>
    <n v="759"/>
    <s v="Katie"/>
    <s v="Douglas"/>
    <n v="65"/>
    <x v="1"/>
    <x v="2"/>
    <x v="11"/>
    <d v="2026-04-07T14:05:35"/>
  </r>
  <r>
    <n v="760"/>
    <s v="Andrew"/>
    <s v="Underwood"/>
    <n v="41"/>
    <x v="2"/>
    <x v="6"/>
    <x v="0"/>
    <d v="2026-04-07T14:06:11"/>
  </r>
  <r>
    <n v="761"/>
    <s v="Bryan"/>
    <s v="Livingston"/>
    <n v="33"/>
    <x v="2"/>
    <x v="3"/>
    <x v="1"/>
    <d v="2026-04-07T14:06:42"/>
  </r>
  <r>
    <n v="762"/>
    <s v="Peggy"/>
    <s v="Mcbride"/>
    <n v="38"/>
    <x v="0"/>
    <x v="3"/>
    <x v="10"/>
    <d v="2026-04-07T14:07:16"/>
  </r>
  <r>
    <n v="763"/>
    <s v="Tyler"/>
    <s v="Miller"/>
    <n v="56"/>
    <x v="1"/>
    <x v="4"/>
    <x v="2"/>
    <d v="2026-04-07T14:08:16"/>
  </r>
  <r>
    <n v="764"/>
    <s v="Rebekah"/>
    <s v="Mccarty"/>
    <n v="38"/>
    <x v="0"/>
    <x v="6"/>
    <x v="10"/>
    <d v="2026-04-07T14:09:03"/>
  </r>
  <r>
    <n v="765"/>
    <s v="Caroline"/>
    <s v="Santos"/>
    <n v="18"/>
    <x v="2"/>
    <x v="5"/>
    <x v="15"/>
    <d v="2026-04-07T14:09:57"/>
  </r>
  <r>
    <n v="766"/>
    <s v="Michael"/>
    <s v="Mccoy"/>
    <n v="33"/>
    <x v="2"/>
    <x v="4"/>
    <x v="17"/>
    <d v="2026-04-07T14:10:49"/>
  </r>
  <r>
    <n v="767"/>
    <s v="Sarah"/>
    <s v="Davis"/>
    <n v="26"/>
    <x v="1"/>
    <x v="1"/>
    <x v="8"/>
    <d v="2026-04-07T14:11:49"/>
  </r>
  <r>
    <n v="768"/>
    <s v="Raymond"/>
    <s v="Morales"/>
    <n v="34"/>
    <x v="0"/>
    <x v="3"/>
    <x v="3"/>
    <d v="2026-04-07T14:12:07"/>
  </r>
  <r>
    <n v="769"/>
    <s v="Barry"/>
    <s v="Combs"/>
    <n v="53"/>
    <x v="1"/>
    <x v="3"/>
    <x v="8"/>
    <d v="2026-04-07T14:13:00"/>
  </r>
  <r>
    <n v="770"/>
    <s v="Gabriel"/>
    <s v="Medina"/>
    <n v="38"/>
    <x v="2"/>
    <x v="2"/>
    <x v="10"/>
    <d v="2026-04-07T14:13:58"/>
  </r>
  <r>
    <n v="771"/>
    <s v="Michael"/>
    <s v="Lewis"/>
    <n v="44"/>
    <x v="0"/>
    <x v="2"/>
    <x v="18"/>
    <d v="2026-04-07T14:14:49"/>
  </r>
  <r>
    <n v="772"/>
    <s v="Daniel"/>
    <s v="Franklin"/>
    <n v="54"/>
    <x v="0"/>
    <x v="6"/>
    <x v="2"/>
    <d v="2026-04-07T14:15:20"/>
  </r>
  <r>
    <n v="773"/>
    <s v="Allen"/>
    <s v="Sexton"/>
    <n v="35"/>
    <x v="1"/>
    <x v="5"/>
    <x v="13"/>
    <d v="2026-04-07T14:16:04"/>
  </r>
  <r>
    <n v="774"/>
    <s v="Charles"/>
    <s v="Bailey"/>
    <n v="52"/>
    <x v="1"/>
    <x v="2"/>
    <x v="17"/>
    <d v="2026-04-07T14:16:47"/>
  </r>
  <r>
    <n v="775"/>
    <s v="Marco"/>
    <s v="Lane"/>
    <n v="32"/>
    <x v="0"/>
    <x v="3"/>
    <x v="7"/>
    <d v="2026-04-07T14:17:40"/>
  </r>
  <r>
    <n v="776"/>
    <s v="Angela"/>
    <s v="Russell"/>
    <n v="34"/>
    <x v="2"/>
    <x v="1"/>
    <x v="12"/>
    <d v="2026-04-07T14:17:51"/>
  </r>
  <r>
    <n v="777"/>
    <s v="Mark"/>
    <s v="Perkins"/>
    <n v="68"/>
    <x v="2"/>
    <x v="4"/>
    <x v="10"/>
    <d v="2026-04-07T14:18:28"/>
  </r>
  <r>
    <n v="778"/>
    <s v="Amy"/>
    <s v="Patterson"/>
    <n v="59"/>
    <x v="2"/>
    <x v="1"/>
    <x v="2"/>
    <d v="2026-04-07T14:19:19"/>
  </r>
  <r>
    <n v="779"/>
    <s v="Lisa"/>
    <s v="Singh"/>
    <n v="50"/>
    <x v="1"/>
    <x v="4"/>
    <x v="13"/>
    <d v="2026-04-07T14:20:09"/>
  </r>
  <r>
    <n v="780"/>
    <s v="Paul"/>
    <s v="Williams"/>
    <n v="18"/>
    <x v="0"/>
    <x v="2"/>
    <x v="15"/>
    <d v="2026-04-07T14:21:00"/>
  </r>
  <r>
    <n v="781"/>
    <s v="Sabrina"/>
    <s v="Davis"/>
    <n v="69"/>
    <x v="2"/>
    <x v="3"/>
    <x v="5"/>
    <d v="2026-04-07T14:21:18"/>
  </r>
  <r>
    <n v="782"/>
    <s v="Ian"/>
    <s v="Rice"/>
    <n v="47"/>
    <x v="1"/>
    <x v="6"/>
    <x v="10"/>
    <d v="2026-04-07T14:22:01"/>
  </r>
  <r>
    <n v="783"/>
    <s v="Michael"/>
    <s v="Lowe"/>
    <n v="39"/>
    <x v="1"/>
    <x v="1"/>
    <x v="7"/>
    <d v="2026-04-07T14:22:11"/>
  </r>
  <r>
    <n v="784"/>
    <s v="Victor"/>
    <s v="Carter"/>
    <n v="56"/>
    <x v="0"/>
    <x v="3"/>
    <x v="9"/>
    <d v="2026-04-07T14:22:48"/>
  </r>
  <r>
    <n v="785"/>
    <s v="Michaela"/>
    <s v="Grant"/>
    <n v="23"/>
    <x v="2"/>
    <x v="1"/>
    <x v="0"/>
    <d v="2026-04-07T14:23:08"/>
  </r>
  <r>
    <n v="786"/>
    <s v="Brianna"/>
    <s v="Huffman"/>
    <n v="46"/>
    <x v="2"/>
    <x v="0"/>
    <x v="7"/>
    <d v="2026-04-07T14:23:51"/>
  </r>
  <r>
    <n v="787"/>
    <s v="Tanya"/>
    <s v="Mendez"/>
    <n v="58"/>
    <x v="0"/>
    <x v="2"/>
    <x v="10"/>
    <d v="2026-04-07T14:24:40"/>
  </r>
  <r>
    <n v="788"/>
    <s v="Amanda"/>
    <s v="Smith"/>
    <n v="55"/>
    <x v="0"/>
    <x v="6"/>
    <x v="18"/>
    <d v="2026-04-07T14:24:59"/>
  </r>
  <r>
    <n v="789"/>
    <s v="Traci"/>
    <s v="Rivera"/>
    <n v="62"/>
    <x v="0"/>
    <x v="0"/>
    <x v="5"/>
    <d v="2026-04-07T14:25:09"/>
  </r>
  <r>
    <n v="790"/>
    <s v="Stacey"/>
    <s v="Tran"/>
    <n v="18"/>
    <x v="1"/>
    <x v="0"/>
    <x v="0"/>
    <d v="2026-04-07T14:25:28"/>
  </r>
  <r>
    <n v="791"/>
    <s v="Sharon"/>
    <s v="Lyons"/>
    <n v="68"/>
    <x v="1"/>
    <x v="0"/>
    <x v="5"/>
    <d v="2026-04-07T14:25:48"/>
  </r>
  <r>
    <n v="792"/>
    <s v="Karen"/>
    <s v="Robertson"/>
    <n v="24"/>
    <x v="2"/>
    <x v="1"/>
    <x v="10"/>
    <d v="2026-04-07T14:26:17"/>
  </r>
  <r>
    <n v="793"/>
    <s v="Lisa"/>
    <s v="Lee"/>
    <n v="28"/>
    <x v="0"/>
    <x v="2"/>
    <x v="8"/>
    <d v="2026-04-07T14:27:01"/>
  </r>
  <r>
    <n v="794"/>
    <s v="Mackenzie"/>
    <s v="Green"/>
    <n v="45"/>
    <x v="0"/>
    <x v="2"/>
    <x v="14"/>
    <d v="2026-04-07T14:27:44"/>
  </r>
  <r>
    <n v="795"/>
    <s v="Helen"/>
    <s v="Rogers"/>
    <n v="18"/>
    <x v="2"/>
    <x v="2"/>
    <x v="13"/>
    <d v="2026-04-07T14:28:16"/>
  </r>
  <r>
    <n v="796"/>
    <s v="Angela"/>
    <s v="Smith"/>
    <n v="64"/>
    <x v="2"/>
    <x v="1"/>
    <x v="17"/>
    <d v="2026-04-07T14:28:43"/>
  </r>
  <r>
    <n v="797"/>
    <s v="Suzanne"/>
    <s v="Greene"/>
    <n v="27"/>
    <x v="0"/>
    <x v="0"/>
    <x v="5"/>
    <d v="2026-04-07T14:28:53"/>
  </r>
  <r>
    <n v="798"/>
    <s v="Valerie"/>
    <s v="Anderson"/>
    <n v="67"/>
    <x v="2"/>
    <x v="2"/>
    <x v="1"/>
    <d v="2026-04-07T14:29:50"/>
  </r>
  <r>
    <n v="799"/>
    <s v="Joanna"/>
    <s v="Sanchez"/>
    <n v="28"/>
    <x v="2"/>
    <x v="6"/>
    <x v="16"/>
    <d v="2026-04-07T14:30:27"/>
  </r>
  <r>
    <n v="800"/>
    <s v="Denise"/>
    <s v="Robles"/>
    <n v="64"/>
    <x v="1"/>
    <x v="6"/>
    <x v="19"/>
    <d v="2026-04-07T14:30:48"/>
  </r>
  <r>
    <n v="801"/>
    <s v="Adam"/>
    <s v="Costa"/>
    <n v="57"/>
    <x v="0"/>
    <x v="2"/>
    <x v="4"/>
    <d v="2026-04-07T14:31:10"/>
  </r>
  <r>
    <n v="802"/>
    <s v="Amy"/>
    <s v="Hahn"/>
    <n v="37"/>
    <x v="2"/>
    <x v="6"/>
    <x v="13"/>
    <d v="2026-04-07T14:31:48"/>
  </r>
  <r>
    <n v="803"/>
    <s v="Jeremy"/>
    <s v="Nguyen"/>
    <n v="18"/>
    <x v="1"/>
    <x v="2"/>
    <x v="1"/>
    <d v="2026-04-07T14:32:06"/>
  </r>
  <r>
    <n v="804"/>
    <s v="Barbara"/>
    <s v="Christian"/>
    <n v="38"/>
    <x v="0"/>
    <x v="5"/>
    <x v="6"/>
    <d v="2026-04-07T14:32:26"/>
  </r>
  <r>
    <n v="805"/>
    <s v="Jade"/>
    <s v="Simpson"/>
    <n v="33"/>
    <x v="0"/>
    <x v="6"/>
    <x v="19"/>
    <d v="2026-04-07T14:33:18"/>
  </r>
  <r>
    <n v="806"/>
    <s v="John"/>
    <s v="Wyatt"/>
    <n v="41"/>
    <x v="1"/>
    <x v="6"/>
    <x v="8"/>
    <d v="2026-04-07T14:33:29"/>
  </r>
  <r>
    <n v="807"/>
    <s v="David"/>
    <s v="Porter"/>
    <n v="34"/>
    <x v="0"/>
    <x v="0"/>
    <x v="13"/>
    <d v="2026-04-07T14:34:06"/>
  </r>
  <r>
    <n v="808"/>
    <s v="Mary"/>
    <s v="Smith"/>
    <n v="32"/>
    <x v="1"/>
    <x v="2"/>
    <x v="9"/>
    <d v="2026-04-09T12:59:34"/>
  </r>
  <r>
    <n v="809"/>
    <s v="Jill"/>
    <s v="Howell"/>
    <n v="28"/>
    <x v="2"/>
    <x v="6"/>
    <x v="0"/>
    <d v="2026-04-09T13:00:02"/>
  </r>
  <r>
    <n v="810"/>
    <s v="Cindy"/>
    <s v="Diaz"/>
    <n v="40"/>
    <x v="1"/>
    <x v="4"/>
    <x v="2"/>
    <d v="2026-04-09T13:00:51"/>
  </r>
  <r>
    <n v="811"/>
    <s v="Richard"/>
    <s v="Frey"/>
    <n v="53"/>
    <x v="1"/>
    <x v="1"/>
    <x v="15"/>
    <d v="2026-04-09T13:01:23"/>
  </r>
  <r>
    <n v="812"/>
    <s v="Aaron"/>
    <s v="Cook"/>
    <n v="32"/>
    <x v="1"/>
    <x v="1"/>
    <x v="1"/>
    <d v="2026-04-09T13:01:52"/>
  </r>
  <r>
    <n v="813"/>
    <s v="John"/>
    <s v="Young"/>
    <n v="49"/>
    <x v="1"/>
    <x v="1"/>
    <x v="9"/>
    <d v="2026-04-09T13:02:53"/>
  </r>
  <r>
    <n v="814"/>
    <s v="Evelyn"/>
    <s v="Perez"/>
    <n v="30"/>
    <x v="1"/>
    <x v="6"/>
    <x v="13"/>
    <d v="2026-04-09T13:03:20"/>
  </r>
  <r>
    <n v="815"/>
    <s v="Lee"/>
    <s v="Tanner"/>
    <n v="33"/>
    <x v="1"/>
    <x v="6"/>
    <x v="4"/>
    <d v="2026-04-09T13:03:51"/>
  </r>
  <r>
    <n v="816"/>
    <s v="Michael"/>
    <s v="Martinez"/>
    <n v="18"/>
    <x v="0"/>
    <x v="6"/>
    <x v="15"/>
    <d v="2026-04-09T13:04:13"/>
  </r>
  <r>
    <n v="817"/>
    <s v="Ryan"/>
    <s v="Leon"/>
    <n v="39"/>
    <x v="2"/>
    <x v="6"/>
    <x v="19"/>
    <d v="2026-04-09T13:04:54"/>
  </r>
  <r>
    <n v="818"/>
    <s v="Donald"/>
    <s v="Ramsey"/>
    <n v="62"/>
    <x v="1"/>
    <x v="4"/>
    <x v="10"/>
    <d v="2026-04-09T13:05:34"/>
  </r>
  <r>
    <n v="819"/>
    <s v="David"/>
    <s v="James"/>
    <n v="55"/>
    <x v="2"/>
    <x v="6"/>
    <x v="9"/>
    <d v="2026-04-09T13:06:18"/>
  </r>
  <r>
    <n v="820"/>
    <s v="Rebecca"/>
    <s v="Stone"/>
    <n v="57"/>
    <x v="0"/>
    <x v="4"/>
    <x v="13"/>
    <d v="2026-04-09T13:07:17"/>
  </r>
  <r>
    <n v="821"/>
    <s v="Ariel"/>
    <s v="Garcia"/>
    <n v="63"/>
    <x v="0"/>
    <x v="1"/>
    <x v="12"/>
    <d v="2026-04-09T13:07:47"/>
  </r>
  <r>
    <n v="822"/>
    <s v="Kylie"/>
    <s v="Garcia"/>
    <n v="33"/>
    <x v="0"/>
    <x v="3"/>
    <x v="0"/>
    <d v="2026-04-09T13:08:31"/>
  </r>
  <r>
    <n v="823"/>
    <s v="Michael"/>
    <s v="Gross"/>
    <n v="65"/>
    <x v="2"/>
    <x v="6"/>
    <x v="3"/>
    <d v="2026-04-09T13:08:53"/>
  </r>
  <r>
    <n v="824"/>
    <s v="Cynthia"/>
    <s v="Sanchez"/>
    <n v="41"/>
    <x v="0"/>
    <x v="1"/>
    <x v="18"/>
    <d v="2026-04-09T13:09:45"/>
  </r>
  <r>
    <n v="825"/>
    <s v="Dylan"/>
    <s v="Torres"/>
    <n v="21"/>
    <x v="0"/>
    <x v="5"/>
    <x v="6"/>
    <d v="2026-04-09T13:09:58"/>
  </r>
  <r>
    <n v="826"/>
    <s v="Sandra"/>
    <s v="Casey"/>
    <n v="42"/>
    <x v="0"/>
    <x v="3"/>
    <x v="12"/>
    <d v="2026-04-09T13:10:17"/>
  </r>
  <r>
    <n v="827"/>
    <s v="Jeremiah"/>
    <s v="Coleman"/>
    <n v="40"/>
    <x v="1"/>
    <x v="1"/>
    <x v="8"/>
    <d v="2026-04-09T13:11:13"/>
  </r>
  <r>
    <n v="828"/>
    <s v="Amber"/>
    <s v="Robbins"/>
    <n v="40"/>
    <x v="0"/>
    <x v="5"/>
    <x v="1"/>
    <d v="2026-04-09T13:11:48"/>
  </r>
  <r>
    <n v="829"/>
    <s v="Deborah"/>
    <s v="Tran"/>
    <n v="26"/>
    <x v="2"/>
    <x v="4"/>
    <x v="1"/>
    <d v="2026-04-09T13:34:13"/>
  </r>
  <r>
    <n v="830"/>
    <s v="David"/>
    <s v="Campbell"/>
    <n v="34"/>
    <x v="0"/>
    <x v="1"/>
    <x v="9"/>
    <d v="2026-04-09T13:34:32"/>
  </r>
  <r>
    <n v="831"/>
    <s v="Kendra"/>
    <s v="Gonzalez"/>
    <n v="33"/>
    <x v="1"/>
    <x v="6"/>
    <x v="2"/>
    <d v="2026-04-09T13:35:15"/>
  </r>
  <r>
    <n v="832"/>
    <s v="Samuel"/>
    <s v="Brooks"/>
    <n v="60"/>
    <x v="1"/>
    <x v="5"/>
    <x v="17"/>
    <d v="2026-04-09T13:36:03"/>
  </r>
  <r>
    <n v="833"/>
    <s v="Kathryn"/>
    <s v="Benton"/>
    <n v="58"/>
    <x v="2"/>
    <x v="0"/>
    <x v="13"/>
    <d v="2026-04-09T13:36:16"/>
  </r>
  <r>
    <n v="834"/>
    <s v="Laura"/>
    <s v="Anderson"/>
    <n v="69"/>
    <x v="0"/>
    <x v="4"/>
    <x v="8"/>
    <d v="2026-04-09T13:36:31"/>
  </r>
  <r>
    <n v="835"/>
    <s v="Christina"/>
    <s v="Hoffman"/>
    <n v="36"/>
    <x v="2"/>
    <x v="3"/>
    <x v="0"/>
    <d v="2026-04-09T13:37:01"/>
  </r>
  <r>
    <n v="836"/>
    <s v="Jacob"/>
    <s v="Williams"/>
    <n v="53"/>
    <x v="0"/>
    <x v="2"/>
    <x v="0"/>
    <d v="2026-04-09T13:37:37"/>
  </r>
  <r>
    <n v="837"/>
    <s v="Ashley"/>
    <s v="Mclaughlin"/>
    <n v="53"/>
    <x v="1"/>
    <x v="1"/>
    <x v="11"/>
    <d v="2026-04-09T13:38:24"/>
  </r>
  <r>
    <n v="838"/>
    <s v="Martin"/>
    <s v="Johnson"/>
    <n v="36"/>
    <x v="0"/>
    <x v="2"/>
    <x v="7"/>
    <d v="2026-04-09T13:39:13"/>
  </r>
  <r>
    <n v="839"/>
    <s v="James"/>
    <s v="Branch"/>
    <n v="57"/>
    <x v="0"/>
    <x v="1"/>
    <x v="17"/>
    <d v="2026-04-09T13:39:46"/>
  </r>
  <r>
    <n v="840"/>
    <s v="Joshua"/>
    <s v="Brown"/>
    <n v="19"/>
    <x v="1"/>
    <x v="1"/>
    <x v="16"/>
    <d v="2026-04-09T13:40:38"/>
  </r>
  <r>
    <n v="841"/>
    <s v="Mitchell"/>
    <s v="Bryant"/>
    <n v="43"/>
    <x v="1"/>
    <x v="2"/>
    <x v="2"/>
    <d v="2026-04-09T13:40:53"/>
  </r>
  <r>
    <n v="842"/>
    <s v="Melinda"/>
    <s v="Ball"/>
    <n v="26"/>
    <x v="1"/>
    <x v="4"/>
    <x v="6"/>
    <d v="2026-04-09T13:41:33"/>
  </r>
  <r>
    <n v="843"/>
    <s v="Kyle"/>
    <s v="James"/>
    <n v="48"/>
    <x v="0"/>
    <x v="3"/>
    <x v="10"/>
    <d v="2026-04-09T13:42:10"/>
  </r>
  <r>
    <n v="844"/>
    <s v="Tina"/>
    <s v="Sanchez"/>
    <n v="20"/>
    <x v="2"/>
    <x v="6"/>
    <x v="13"/>
    <d v="2026-04-09T13:42:39"/>
  </r>
  <r>
    <n v="845"/>
    <s v="Phyllis"/>
    <s v="Crawford"/>
    <n v="29"/>
    <x v="0"/>
    <x v="2"/>
    <x v="1"/>
    <d v="2026-04-09T13:42:56"/>
  </r>
  <r>
    <n v="846"/>
    <s v="Samantha"/>
    <s v="Cohen"/>
    <n v="27"/>
    <x v="1"/>
    <x v="6"/>
    <x v="11"/>
    <d v="2026-04-09T13:43:39"/>
  </r>
  <r>
    <n v="847"/>
    <s v="Seth"/>
    <s v="Hill"/>
    <n v="25"/>
    <x v="2"/>
    <x v="6"/>
    <x v="14"/>
    <d v="2026-04-09T13:44:07"/>
  </r>
  <r>
    <n v="848"/>
    <s v="Stuart"/>
    <s v="Mccoy"/>
    <n v="54"/>
    <x v="1"/>
    <x v="5"/>
    <x v="3"/>
    <d v="2026-04-09T13:44:29"/>
  </r>
  <r>
    <n v="849"/>
    <s v="Carrie"/>
    <s v="Henson"/>
    <n v="44"/>
    <x v="2"/>
    <x v="3"/>
    <x v="3"/>
    <d v="2026-04-09T13:44:47"/>
  </r>
  <r>
    <n v="850"/>
    <s v="Jason"/>
    <s v="Mcmillan"/>
    <n v="67"/>
    <x v="2"/>
    <x v="1"/>
    <x v="9"/>
    <d v="2026-04-09T13:45:14"/>
  </r>
  <r>
    <n v="851"/>
    <s v="Jessica"/>
    <s v="Brown"/>
    <n v="28"/>
    <x v="1"/>
    <x v="1"/>
    <x v="2"/>
    <d v="2026-04-09T13:45:46"/>
  </r>
  <r>
    <n v="852"/>
    <s v="Richard"/>
    <s v="Hicks"/>
    <n v="66"/>
    <x v="0"/>
    <x v="5"/>
    <x v="1"/>
    <d v="2026-04-09T13:46:45"/>
  </r>
  <r>
    <n v="853"/>
    <s v="Krystal"/>
    <s v="Hernandez"/>
    <n v="38"/>
    <x v="1"/>
    <x v="1"/>
    <x v="10"/>
    <d v="2026-04-09T13:47:16"/>
  </r>
  <r>
    <n v="854"/>
    <s v="Cody"/>
    <s v="Walker"/>
    <n v="24"/>
    <x v="2"/>
    <x v="2"/>
    <x v="6"/>
    <d v="2026-04-09T13:47:46"/>
  </r>
  <r>
    <n v="855"/>
    <s v="Crystal"/>
    <s v="Mitchell"/>
    <n v="68"/>
    <x v="1"/>
    <x v="5"/>
    <x v="14"/>
    <d v="2026-04-09T13:48:39"/>
  </r>
  <r>
    <n v="856"/>
    <s v="Shane"/>
    <s v="Castro"/>
    <n v="20"/>
    <x v="1"/>
    <x v="3"/>
    <x v="7"/>
    <d v="2026-04-09T13:49:12"/>
  </r>
  <r>
    <n v="857"/>
    <s v="Anthony"/>
    <s v="Adams"/>
    <n v="65"/>
    <x v="1"/>
    <x v="6"/>
    <x v="11"/>
    <d v="2026-04-09T13:50:03"/>
  </r>
  <r>
    <n v="858"/>
    <s v="Martha"/>
    <s v="Acosta"/>
    <n v="48"/>
    <x v="2"/>
    <x v="0"/>
    <x v="6"/>
    <d v="2026-04-09T13:51:03"/>
  </r>
  <r>
    <n v="859"/>
    <s v="James"/>
    <s v="Frazier"/>
    <n v="39"/>
    <x v="0"/>
    <x v="5"/>
    <x v="4"/>
    <d v="2026-04-09T13:51:31"/>
  </r>
  <r>
    <n v="860"/>
    <s v="Paul"/>
    <s v="Griffith"/>
    <n v="63"/>
    <x v="0"/>
    <x v="6"/>
    <x v="11"/>
    <d v="2026-04-09T13:51:46"/>
  </r>
  <r>
    <n v="861"/>
    <s v="Sheila"/>
    <s v="Herrera"/>
    <n v="21"/>
    <x v="0"/>
    <x v="0"/>
    <x v="5"/>
    <d v="2026-04-09T13:52:04"/>
  </r>
  <r>
    <n v="862"/>
    <s v="Stephen"/>
    <s v="Sanchez"/>
    <n v="54"/>
    <x v="2"/>
    <x v="3"/>
    <x v="13"/>
    <d v="2026-04-09T13:52:56"/>
  </r>
  <r>
    <n v="863"/>
    <s v="Debra"/>
    <s v="Harrison"/>
    <n v="58"/>
    <x v="0"/>
    <x v="5"/>
    <x v="19"/>
    <d v="2026-04-09T13:53:46"/>
  </r>
  <r>
    <n v="864"/>
    <s v="Frederick"/>
    <s v="Miller"/>
    <n v="21"/>
    <x v="1"/>
    <x v="0"/>
    <x v="19"/>
    <d v="2026-04-09T13:53:59"/>
  </r>
  <r>
    <n v="865"/>
    <s v="Patricia"/>
    <s v="Blair"/>
    <n v="26"/>
    <x v="2"/>
    <x v="1"/>
    <x v="4"/>
    <d v="2026-04-09T13:54:49"/>
  </r>
  <r>
    <n v="866"/>
    <s v="Nathan"/>
    <s v="Lowery"/>
    <n v="38"/>
    <x v="2"/>
    <x v="4"/>
    <x v="6"/>
    <d v="2026-04-09T13:55:41"/>
  </r>
  <r>
    <n v="867"/>
    <s v="Brandon"/>
    <s v="Ibarra"/>
    <n v="46"/>
    <x v="2"/>
    <x v="3"/>
    <x v="13"/>
    <d v="2026-04-09T13:56:33"/>
  </r>
  <r>
    <n v="868"/>
    <s v="Wesley"/>
    <s v="Duke"/>
    <n v="34"/>
    <x v="2"/>
    <x v="2"/>
    <x v="16"/>
    <d v="2026-04-09T13:57:29"/>
  </r>
  <r>
    <n v="869"/>
    <s v="Kathy"/>
    <s v="Myers"/>
    <n v="28"/>
    <x v="1"/>
    <x v="2"/>
    <x v="5"/>
    <d v="2026-04-09T13:58:26"/>
  </r>
  <r>
    <n v="870"/>
    <s v="Darryl"/>
    <s v="Davis"/>
    <n v="27"/>
    <x v="2"/>
    <x v="6"/>
    <x v="10"/>
    <d v="2026-04-09T13:58:57"/>
  </r>
  <r>
    <n v="871"/>
    <s v="Brandon"/>
    <s v="Martin"/>
    <n v="36"/>
    <x v="2"/>
    <x v="0"/>
    <x v="8"/>
    <d v="2026-04-09T13:59:23"/>
  </r>
  <r>
    <n v="872"/>
    <s v="Jennifer"/>
    <s v="Shaffer"/>
    <n v="65"/>
    <x v="0"/>
    <x v="6"/>
    <x v="2"/>
    <d v="2026-04-09T13:59:58"/>
  </r>
  <r>
    <n v="873"/>
    <s v="Jerry"/>
    <s v="Andrews"/>
    <n v="44"/>
    <x v="1"/>
    <x v="0"/>
    <x v="2"/>
    <d v="2026-04-09T14:00:18"/>
  </r>
  <r>
    <n v="874"/>
    <s v="William"/>
    <s v="Williams"/>
    <n v="53"/>
    <x v="0"/>
    <x v="3"/>
    <x v="2"/>
    <d v="2026-04-09T14:00:34"/>
  </r>
  <r>
    <n v="875"/>
    <s v="Rebecca"/>
    <s v="Benson"/>
    <n v="52"/>
    <x v="1"/>
    <x v="4"/>
    <x v="4"/>
    <d v="2026-04-09T14:00:46"/>
  </r>
  <r>
    <n v="876"/>
    <s v="Justin"/>
    <s v="Conner"/>
    <n v="55"/>
    <x v="0"/>
    <x v="2"/>
    <x v="13"/>
    <d v="2026-04-09T14:01:29"/>
  </r>
  <r>
    <n v="877"/>
    <s v="James"/>
    <s v="Smith"/>
    <n v="58"/>
    <x v="2"/>
    <x v="4"/>
    <x v="19"/>
    <d v="2026-04-09T14:02:09"/>
  </r>
  <r>
    <n v="878"/>
    <s v="Briana"/>
    <s v="Green"/>
    <n v="66"/>
    <x v="0"/>
    <x v="5"/>
    <x v="8"/>
    <d v="2026-04-09T14:02:38"/>
  </r>
  <r>
    <n v="879"/>
    <s v="Brian"/>
    <s v="Smith"/>
    <n v="24"/>
    <x v="1"/>
    <x v="6"/>
    <x v="1"/>
    <d v="2026-04-09T14:03:19"/>
  </r>
  <r>
    <n v="880"/>
    <s v="Kevin"/>
    <s v="Fry"/>
    <n v="64"/>
    <x v="2"/>
    <x v="6"/>
    <x v="14"/>
    <d v="2026-04-09T14:03:54"/>
  </r>
  <r>
    <n v="881"/>
    <s v="Shawn"/>
    <s v="Reese"/>
    <n v="47"/>
    <x v="2"/>
    <x v="3"/>
    <x v="8"/>
    <d v="2026-04-09T14:04:52"/>
  </r>
  <r>
    <n v="882"/>
    <s v="Henry"/>
    <s v="Reid"/>
    <n v="63"/>
    <x v="2"/>
    <x v="0"/>
    <x v="15"/>
    <d v="2026-04-09T14:05:22"/>
  </r>
  <r>
    <n v="883"/>
    <s v="Ivan"/>
    <s v="Wells"/>
    <n v="31"/>
    <x v="2"/>
    <x v="6"/>
    <x v="13"/>
    <d v="2026-04-09T14:06:03"/>
  </r>
  <r>
    <n v="884"/>
    <s v="Emily"/>
    <s v="Rangel"/>
    <n v="28"/>
    <x v="1"/>
    <x v="1"/>
    <x v="16"/>
    <d v="2026-04-09T14:06:39"/>
  </r>
  <r>
    <n v="885"/>
    <s v="Brian"/>
    <s v="Davis"/>
    <n v="25"/>
    <x v="1"/>
    <x v="2"/>
    <x v="3"/>
    <d v="2026-04-09T14:07:11"/>
  </r>
  <r>
    <n v="886"/>
    <s v="Shannon"/>
    <s v="Paul"/>
    <n v="65"/>
    <x v="2"/>
    <x v="6"/>
    <x v="15"/>
    <d v="2026-04-09T14:07:33"/>
  </r>
  <r>
    <n v="887"/>
    <s v="Cristina"/>
    <s v="Hansen"/>
    <n v="29"/>
    <x v="2"/>
    <x v="2"/>
    <x v="18"/>
    <d v="2026-04-09T14:08:25"/>
  </r>
  <r>
    <n v="888"/>
    <s v="Matthew"/>
    <s v="Patterson"/>
    <n v="45"/>
    <x v="2"/>
    <x v="5"/>
    <x v="17"/>
    <d v="2026-04-09T14:09:02"/>
  </r>
  <r>
    <n v="889"/>
    <s v="Louis"/>
    <s v="Wolfe"/>
    <n v="38"/>
    <x v="0"/>
    <x v="3"/>
    <x v="12"/>
    <d v="2026-04-09T14:09:46"/>
  </r>
  <r>
    <n v="890"/>
    <s v="Robert"/>
    <s v="Acevedo"/>
    <n v="59"/>
    <x v="2"/>
    <x v="4"/>
    <x v="13"/>
    <d v="2026-04-09T14:10:32"/>
  </r>
  <r>
    <n v="891"/>
    <s v="Chelsea"/>
    <s v="Johnson"/>
    <n v="42"/>
    <x v="1"/>
    <x v="2"/>
    <x v="15"/>
    <d v="2026-04-09T14:11:12"/>
  </r>
  <r>
    <n v="892"/>
    <s v="Elizabeth"/>
    <s v="Cantrell"/>
    <n v="46"/>
    <x v="1"/>
    <x v="4"/>
    <x v="13"/>
    <d v="2026-04-09T14:11:26"/>
  </r>
  <r>
    <n v="893"/>
    <s v="Thomas"/>
    <s v="Randall"/>
    <n v="27"/>
    <x v="1"/>
    <x v="6"/>
    <x v="11"/>
    <d v="2026-04-09T14:11:46"/>
  </r>
  <r>
    <n v="894"/>
    <s v="Juan"/>
    <s v="Wilson"/>
    <n v="29"/>
    <x v="1"/>
    <x v="1"/>
    <x v="15"/>
    <d v="2026-04-09T14:12:36"/>
  </r>
  <r>
    <n v="895"/>
    <s v="Joe"/>
    <s v="Bonilla"/>
    <n v="42"/>
    <x v="2"/>
    <x v="6"/>
    <x v="16"/>
    <d v="2026-04-09T14:13:10"/>
  </r>
  <r>
    <n v="896"/>
    <s v="Vanessa"/>
    <s v="Olson"/>
    <n v="39"/>
    <x v="0"/>
    <x v="5"/>
    <x v="13"/>
    <d v="2026-04-09T14:13:33"/>
  </r>
  <r>
    <n v="897"/>
    <s v="Jim"/>
    <s v="Smith"/>
    <n v="21"/>
    <x v="2"/>
    <x v="3"/>
    <x v="10"/>
    <d v="2026-04-09T14:14:10"/>
  </r>
  <r>
    <n v="898"/>
    <s v="Laura"/>
    <s v="Fernandez"/>
    <n v="55"/>
    <x v="0"/>
    <x v="0"/>
    <x v="14"/>
    <d v="2026-04-09T14:15:08"/>
  </r>
  <r>
    <n v="899"/>
    <s v="Nicholas"/>
    <s v="Trujillo"/>
    <n v="24"/>
    <x v="0"/>
    <x v="0"/>
    <x v="14"/>
    <d v="2026-04-09T14:15:37"/>
  </r>
  <r>
    <n v="900"/>
    <s v="Kenneth"/>
    <s v="Williams"/>
    <n v="55"/>
    <x v="2"/>
    <x v="4"/>
    <x v="1"/>
    <d v="2026-04-09T14:16:23"/>
  </r>
  <r>
    <n v="901"/>
    <s v="Breanna"/>
    <s v="Mendez"/>
    <n v="51"/>
    <x v="1"/>
    <x v="4"/>
    <x v="14"/>
    <d v="2026-04-09T14:17:13"/>
  </r>
  <r>
    <n v="902"/>
    <s v="Joseph"/>
    <s v="Davis"/>
    <n v="23"/>
    <x v="2"/>
    <x v="4"/>
    <x v="14"/>
    <d v="2026-04-09T14:17:29"/>
  </r>
  <r>
    <n v="903"/>
    <s v="Eric"/>
    <s v="Ramos"/>
    <n v="40"/>
    <x v="1"/>
    <x v="3"/>
    <x v="7"/>
    <d v="2026-04-09T14:18:21"/>
  </r>
  <r>
    <n v="904"/>
    <s v="Mark"/>
    <s v="Bennett"/>
    <n v="65"/>
    <x v="2"/>
    <x v="5"/>
    <x v="10"/>
    <d v="2026-04-09T14:18:44"/>
  </r>
  <r>
    <n v="905"/>
    <s v="Amanda"/>
    <s v="Strong"/>
    <n v="28"/>
    <x v="1"/>
    <x v="5"/>
    <x v="9"/>
    <d v="2026-04-09T14:19:22"/>
  </r>
  <r>
    <n v="906"/>
    <s v="Kathleen"/>
    <s v="Robertson"/>
    <n v="59"/>
    <x v="1"/>
    <x v="2"/>
    <x v="1"/>
    <d v="2026-04-09T14:20:17"/>
  </r>
  <r>
    <n v="907"/>
    <s v="Karen"/>
    <s v="Fritz"/>
    <n v="38"/>
    <x v="1"/>
    <x v="6"/>
    <x v="19"/>
    <d v="2026-04-09T14:22:00"/>
  </r>
  <r>
    <n v="908"/>
    <s v="Gary"/>
    <s v="Garrett"/>
    <n v="49"/>
    <x v="2"/>
    <x v="2"/>
    <x v="16"/>
    <d v="2026-04-10T14:00:22"/>
  </r>
  <r>
    <n v="909"/>
    <s v="Debra"/>
    <s v="Waller"/>
    <n v="30"/>
    <x v="2"/>
    <x v="4"/>
    <x v="14"/>
    <d v="2026-04-10T14:01:14"/>
  </r>
  <r>
    <n v="910"/>
    <s v="Ryan"/>
    <s v="Spencer"/>
    <n v="53"/>
    <x v="1"/>
    <x v="5"/>
    <x v="11"/>
    <d v="2026-04-10T14:01:53"/>
  </r>
  <r>
    <n v="911"/>
    <s v="Shane"/>
    <s v="Garrett"/>
    <n v="69"/>
    <x v="0"/>
    <x v="4"/>
    <x v="8"/>
    <d v="2026-04-10T14:02:10"/>
  </r>
  <r>
    <n v="912"/>
    <s v="Brenda"/>
    <s v="Smith"/>
    <n v="60"/>
    <x v="1"/>
    <x v="3"/>
    <x v="1"/>
    <d v="2026-04-10T14:02:59"/>
  </r>
  <r>
    <n v="913"/>
    <s v="Elizabeth"/>
    <s v="Cunningham"/>
    <n v="59"/>
    <x v="0"/>
    <x v="1"/>
    <x v="12"/>
    <d v="2026-04-10T14:03:56"/>
  </r>
  <r>
    <n v="914"/>
    <s v="Miguel"/>
    <s v="Duffy"/>
    <n v="51"/>
    <x v="0"/>
    <x v="1"/>
    <x v="7"/>
    <d v="2026-04-10T14:04:21"/>
  </r>
  <r>
    <n v="915"/>
    <s v="Adam"/>
    <s v="Gonzalez"/>
    <n v="60"/>
    <x v="1"/>
    <x v="4"/>
    <x v="9"/>
    <d v="2026-04-10T14:04:56"/>
  </r>
  <r>
    <n v="916"/>
    <s v="Steven"/>
    <s v="Smith"/>
    <n v="47"/>
    <x v="0"/>
    <x v="6"/>
    <x v="18"/>
    <d v="2026-04-10T14:05:13"/>
  </r>
  <r>
    <n v="917"/>
    <s v="William"/>
    <s v="Turner"/>
    <n v="19"/>
    <x v="1"/>
    <x v="0"/>
    <x v="14"/>
    <d v="2026-04-10T14:05:43"/>
  </r>
  <r>
    <n v="918"/>
    <s v="Michael"/>
    <s v="Jones"/>
    <n v="69"/>
    <x v="2"/>
    <x v="5"/>
    <x v="14"/>
    <d v="2026-04-10T14:06:04"/>
  </r>
  <r>
    <n v="919"/>
    <s v="Sara"/>
    <s v="Crawford"/>
    <n v="44"/>
    <x v="0"/>
    <x v="3"/>
    <x v="2"/>
    <d v="2026-04-10T14:06:47"/>
  </r>
  <r>
    <n v="920"/>
    <s v="Laura"/>
    <s v="Young"/>
    <n v="64"/>
    <x v="2"/>
    <x v="2"/>
    <x v="12"/>
    <d v="2026-04-10T14:07:13"/>
  </r>
  <r>
    <n v="921"/>
    <s v="Aaron"/>
    <s v="Nielsen"/>
    <n v="68"/>
    <x v="0"/>
    <x v="2"/>
    <x v="17"/>
    <d v="2026-04-10T14:08:11"/>
  </r>
  <r>
    <n v="922"/>
    <s v="Stephanie"/>
    <s v="Weber"/>
    <n v="58"/>
    <x v="0"/>
    <x v="3"/>
    <x v="8"/>
    <d v="2026-04-10T14:08:22"/>
  </r>
  <r>
    <n v="923"/>
    <s v="Kari"/>
    <s v="Daniels"/>
    <n v="20"/>
    <x v="0"/>
    <x v="1"/>
    <x v="6"/>
    <d v="2026-04-10T14:08:42"/>
  </r>
  <r>
    <n v="924"/>
    <s v="Crystal"/>
    <s v="Morgan"/>
    <n v="20"/>
    <x v="2"/>
    <x v="1"/>
    <x v="8"/>
    <d v="2026-04-10T14:09:23"/>
  </r>
  <r>
    <n v="925"/>
    <s v="Christopher"/>
    <s v="Clark"/>
    <n v="70"/>
    <x v="2"/>
    <x v="0"/>
    <x v="15"/>
    <d v="2026-04-10T14:10:08"/>
  </r>
  <r>
    <n v="926"/>
    <s v="Thomas"/>
    <s v="Little"/>
    <n v="54"/>
    <x v="0"/>
    <x v="5"/>
    <x v="11"/>
    <d v="2026-04-10T14:10:37"/>
  </r>
  <r>
    <n v="927"/>
    <s v="Diana"/>
    <s v="Stafford"/>
    <n v="43"/>
    <x v="0"/>
    <x v="1"/>
    <x v="5"/>
    <d v="2026-04-10T14:11:28"/>
  </r>
  <r>
    <n v="928"/>
    <s v="Kathleen"/>
    <s v="Smith"/>
    <n v="22"/>
    <x v="1"/>
    <x v="1"/>
    <x v="14"/>
    <d v="2026-04-10T14:11:38"/>
  </r>
  <r>
    <n v="929"/>
    <s v="James"/>
    <s v="Armstrong"/>
    <n v="32"/>
    <x v="2"/>
    <x v="6"/>
    <x v="10"/>
    <d v="2026-04-10T14:12:18"/>
  </r>
  <r>
    <n v="930"/>
    <s v="Jennifer"/>
    <s v="Jones"/>
    <n v="42"/>
    <x v="1"/>
    <x v="1"/>
    <x v="11"/>
    <d v="2026-04-10T14:13:03"/>
  </r>
  <r>
    <n v="931"/>
    <s v="Rachel"/>
    <s v="Hancock"/>
    <n v="44"/>
    <x v="1"/>
    <x v="2"/>
    <x v="12"/>
    <d v="2026-04-10T14:13:23"/>
  </r>
  <r>
    <n v="932"/>
    <s v="Jennifer"/>
    <s v="Logan"/>
    <n v="64"/>
    <x v="1"/>
    <x v="5"/>
    <x v="2"/>
    <d v="2026-04-10T14:13:46"/>
  </r>
  <r>
    <n v="933"/>
    <s v="Caitlyn"/>
    <s v="Glass"/>
    <n v="53"/>
    <x v="0"/>
    <x v="0"/>
    <x v="18"/>
    <d v="2026-04-10T14:14:24"/>
  </r>
  <r>
    <n v="934"/>
    <s v="Holly"/>
    <s v="Morrison"/>
    <n v="27"/>
    <x v="0"/>
    <x v="0"/>
    <x v="6"/>
    <d v="2026-04-10T14:14:51"/>
  </r>
  <r>
    <n v="935"/>
    <s v="Olivia"/>
    <s v="Thomas"/>
    <n v="24"/>
    <x v="2"/>
    <x v="4"/>
    <x v="10"/>
    <d v="2026-04-10T14:15:04"/>
  </r>
  <r>
    <n v="936"/>
    <s v="Joshua"/>
    <s v="Hodges"/>
    <n v="63"/>
    <x v="1"/>
    <x v="1"/>
    <x v="10"/>
    <d v="2026-04-10T14:15:44"/>
  </r>
  <r>
    <n v="937"/>
    <s v="Adrienne"/>
    <s v="Simpson"/>
    <n v="33"/>
    <x v="2"/>
    <x v="5"/>
    <x v="9"/>
    <d v="2026-04-10T14:16:19"/>
  </r>
  <r>
    <n v="938"/>
    <s v="Stacey"/>
    <s v="Bauer"/>
    <n v="18"/>
    <x v="2"/>
    <x v="5"/>
    <x v="9"/>
    <d v="2026-04-10T14:16:41"/>
  </r>
  <r>
    <n v="939"/>
    <s v="Jacqueline"/>
    <s v="Gomez"/>
    <n v="27"/>
    <x v="2"/>
    <x v="0"/>
    <x v="1"/>
    <d v="2026-04-10T14:17:23"/>
  </r>
  <r>
    <n v="940"/>
    <s v="Larry"/>
    <s v="Glover"/>
    <n v="39"/>
    <x v="0"/>
    <x v="2"/>
    <x v="0"/>
    <d v="2026-04-10T14:18:01"/>
  </r>
  <r>
    <n v="941"/>
    <s v="Lucas"/>
    <s v="Mercer"/>
    <n v="58"/>
    <x v="0"/>
    <x v="5"/>
    <x v="19"/>
    <d v="2026-04-10T14:18:51"/>
  </r>
  <r>
    <n v="942"/>
    <s v="Stuart"/>
    <s v="Rocha"/>
    <n v="27"/>
    <x v="0"/>
    <x v="1"/>
    <x v="17"/>
    <d v="2026-04-10T14:19:05"/>
  </r>
  <r>
    <n v="943"/>
    <s v="Brian"/>
    <s v="Doyle"/>
    <n v="40"/>
    <x v="2"/>
    <x v="0"/>
    <x v="15"/>
    <d v="2026-04-10T14:20:04"/>
  </r>
  <r>
    <n v="944"/>
    <s v="Isabella"/>
    <s v="Hart"/>
    <n v="47"/>
    <x v="2"/>
    <x v="2"/>
    <x v="5"/>
    <d v="2026-04-10T14:20:53"/>
  </r>
  <r>
    <n v="945"/>
    <s v="Richard"/>
    <s v="Adams"/>
    <n v="28"/>
    <x v="1"/>
    <x v="1"/>
    <x v="16"/>
    <d v="2026-04-10T14:21:05"/>
  </r>
  <r>
    <n v="946"/>
    <s v="Brian"/>
    <s v="Lowe"/>
    <n v="64"/>
    <x v="2"/>
    <x v="2"/>
    <x v="12"/>
    <d v="2026-04-10T14:21:54"/>
  </r>
  <r>
    <n v="947"/>
    <s v="Logan"/>
    <s v="Leonard"/>
    <n v="39"/>
    <x v="1"/>
    <x v="3"/>
    <x v="1"/>
    <d v="2026-04-10T14:22:47"/>
  </r>
  <r>
    <n v="948"/>
    <s v="Nicholas"/>
    <s v="Wilcox"/>
    <n v="36"/>
    <x v="2"/>
    <x v="6"/>
    <x v="2"/>
    <d v="2026-04-10T14:23:18"/>
  </r>
  <r>
    <n v="949"/>
    <s v="Michael"/>
    <s v="Crawford"/>
    <n v="54"/>
    <x v="1"/>
    <x v="1"/>
    <x v="2"/>
    <d v="2026-04-10T14:23:30"/>
  </r>
  <r>
    <n v="950"/>
    <s v="Sandra"/>
    <s v="Hicks"/>
    <n v="39"/>
    <x v="0"/>
    <x v="3"/>
    <x v="6"/>
    <d v="2026-04-10T14:23:40"/>
  </r>
  <r>
    <n v="951"/>
    <s v="Joshua"/>
    <s v="Garcia"/>
    <n v="19"/>
    <x v="1"/>
    <x v="0"/>
    <x v="5"/>
    <d v="2026-04-10T14:24:25"/>
  </r>
  <r>
    <n v="952"/>
    <s v="Wendy"/>
    <s v="Jordan"/>
    <n v="24"/>
    <x v="0"/>
    <x v="0"/>
    <x v="16"/>
    <d v="2026-04-10T14:24:58"/>
  </r>
  <r>
    <n v="953"/>
    <s v="James"/>
    <s v="Vega"/>
    <n v="24"/>
    <x v="0"/>
    <x v="0"/>
    <x v="16"/>
    <d v="2026-04-10T14:25:57"/>
  </r>
  <r>
    <n v="954"/>
    <s v="Dana"/>
    <s v="Ramos"/>
    <n v="39"/>
    <x v="2"/>
    <x v="5"/>
    <x v="10"/>
    <d v="2026-04-10T14:26:18"/>
  </r>
  <r>
    <n v="955"/>
    <s v="Nicholas"/>
    <s v="Goodwin"/>
    <n v="35"/>
    <x v="0"/>
    <x v="3"/>
    <x v="0"/>
    <d v="2026-04-10T14:26:37"/>
  </r>
  <r>
    <n v="956"/>
    <s v="Courtney"/>
    <s v="Horn"/>
    <n v="55"/>
    <x v="2"/>
    <x v="6"/>
    <x v="9"/>
    <d v="2026-04-10T14:27:29"/>
  </r>
  <r>
    <n v="957"/>
    <s v="Tara"/>
    <s v="Murphy"/>
    <n v="31"/>
    <x v="1"/>
    <x v="5"/>
    <x v="10"/>
    <d v="2026-04-10T14:27:52"/>
  </r>
  <r>
    <n v="958"/>
    <s v="Teresa"/>
    <s v="Carter"/>
    <n v="57"/>
    <x v="1"/>
    <x v="0"/>
    <x v="1"/>
    <d v="2026-04-10T14:28:19"/>
  </r>
  <r>
    <n v="959"/>
    <s v="Kenneth"/>
    <s v="Wright"/>
    <n v="27"/>
    <x v="0"/>
    <x v="2"/>
    <x v="8"/>
    <d v="2026-04-10T14:28:51"/>
  </r>
  <r>
    <n v="960"/>
    <s v="Gregory"/>
    <s v="Sullivan"/>
    <n v="22"/>
    <x v="1"/>
    <x v="5"/>
    <x v="17"/>
    <d v="2026-04-10T14:29:48"/>
  </r>
  <r>
    <n v="961"/>
    <s v="Michael"/>
    <s v="Watson"/>
    <n v="40"/>
    <x v="1"/>
    <x v="1"/>
    <x v="0"/>
    <d v="2026-04-10T14:30:39"/>
  </r>
  <r>
    <n v="962"/>
    <s v="Jonathan"/>
    <s v="Santos"/>
    <n v="49"/>
    <x v="2"/>
    <x v="6"/>
    <x v="16"/>
    <d v="2026-04-10T14:30:57"/>
  </r>
  <r>
    <n v="963"/>
    <s v="Nicole"/>
    <s v="Ford"/>
    <n v="61"/>
    <x v="2"/>
    <x v="1"/>
    <x v="14"/>
    <d v="2026-04-10T14:31:29"/>
  </r>
  <r>
    <n v="964"/>
    <s v="Michael"/>
    <s v="Evans"/>
    <n v="39"/>
    <x v="0"/>
    <x v="3"/>
    <x v="17"/>
    <d v="2026-04-10T14:32:21"/>
  </r>
  <r>
    <n v="965"/>
    <s v="Joseph"/>
    <s v="Gibson"/>
    <n v="31"/>
    <x v="1"/>
    <x v="2"/>
    <x v="12"/>
    <d v="2026-04-10T14:32:36"/>
  </r>
  <r>
    <n v="966"/>
    <s v="David"/>
    <s v="Wood"/>
    <n v="26"/>
    <x v="2"/>
    <x v="6"/>
    <x v="11"/>
    <d v="2026-04-10T14:33:34"/>
  </r>
  <r>
    <n v="967"/>
    <s v="Kristen"/>
    <s v="Walls"/>
    <n v="70"/>
    <x v="1"/>
    <x v="3"/>
    <x v="7"/>
    <d v="2026-04-10T14:34:24"/>
  </r>
  <r>
    <n v="968"/>
    <s v="Dennis"/>
    <s v="Juarez"/>
    <n v="48"/>
    <x v="2"/>
    <x v="5"/>
    <x v="5"/>
    <d v="2026-04-10T14:35:22"/>
  </r>
  <r>
    <n v="969"/>
    <s v="Sandra"/>
    <s v="Moore"/>
    <n v="62"/>
    <x v="1"/>
    <x v="4"/>
    <x v="4"/>
    <d v="2026-04-10T14:36:04"/>
  </r>
  <r>
    <n v="970"/>
    <s v="Joel"/>
    <s v="Garcia"/>
    <n v="24"/>
    <x v="0"/>
    <x v="2"/>
    <x v="9"/>
    <d v="2026-04-10T14:36:18"/>
  </r>
  <r>
    <n v="971"/>
    <s v="Shane"/>
    <s v="Richard"/>
    <n v="27"/>
    <x v="2"/>
    <x v="0"/>
    <x v="0"/>
    <d v="2026-04-10T14:36:40"/>
  </r>
  <r>
    <n v="972"/>
    <s v="Shane"/>
    <s v="Fuller"/>
    <n v="30"/>
    <x v="1"/>
    <x v="1"/>
    <x v="10"/>
    <d v="2026-04-10T14:37:40"/>
  </r>
  <r>
    <n v="973"/>
    <s v="Vanessa"/>
    <s v="Palmer"/>
    <n v="59"/>
    <x v="1"/>
    <x v="0"/>
    <x v="7"/>
    <d v="2026-04-10T14:38:24"/>
  </r>
  <r>
    <n v="974"/>
    <s v="Robert"/>
    <s v="Stewart"/>
    <n v="28"/>
    <x v="2"/>
    <x v="0"/>
    <x v="9"/>
    <d v="2026-04-10T14:38:58"/>
  </r>
  <r>
    <n v="975"/>
    <s v="Kathy"/>
    <s v="Stone"/>
    <n v="59"/>
    <x v="2"/>
    <x v="2"/>
    <x v="11"/>
    <d v="2026-04-10T14:39:49"/>
  </r>
  <r>
    <n v="976"/>
    <s v="Henry"/>
    <s v="Lopez"/>
    <n v="33"/>
    <x v="2"/>
    <x v="2"/>
    <x v="14"/>
    <d v="2026-04-10T14:40:40"/>
  </r>
  <r>
    <n v="977"/>
    <s v="John"/>
    <s v="Rodriguez"/>
    <n v="35"/>
    <x v="1"/>
    <x v="6"/>
    <x v="12"/>
    <d v="2026-04-10T14:41:40"/>
  </r>
  <r>
    <n v="978"/>
    <s v="Ruth"/>
    <s v="Willis"/>
    <n v="57"/>
    <x v="1"/>
    <x v="5"/>
    <x v="10"/>
    <d v="2026-04-10T14:42:30"/>
  </r>
  <r>
    <n v="979"/>
    <s v="Ruben"/>
    <s v="Willis"/>
    <n v="65"/>
    <x v="0"/>
    <x v="4"/>
    <x v="3"/>
    <d v="2026-04-10T14:43:17"/>
  </r>
  <r>
    <n v="980"/>
    <s v="Michelle"/>
    <s v="Powell"/>
    <n v="26"/>
    <x v="1"/>
    <x v="0"/>
    <x v="7"/>
    <d v="2026-04-10T14:43:53"/>
  </r>
  <r>
    <n v="981"/>
    <s v="Samantha"/>
    <s v="Burton"/>
    <n v="49"/>
    <x v="1"/>
    <x v="1"/>
    <x v="14"/>
    <d v="2026-04-10T14:44:45"/>
  </r>
  <r>
    <n v="982"/>
    <s v="Diane"/>
    <s v="Wade"/>
    <n v="36"/>
    <x v="2"/>
    <x v="5"/>
    <x v="10"/>
    <d v="2026-04-10T14:44:55"/>
  </r>
  <r>
    <n v="983"/>
    <s v="Joshua"/>
    <s v="Snyder"/>
    <n v="28"/>
    <x v="0"/>
    <x v="5"/>
    <x v="8"/>
    <d v="2026-04-10T14:45:46"/>
  </r>
  <r>
    <n v="984"/>
    <s v="Anthony"/>
    <s v="Hutchinson"/>
    <n v="55"/>
    <x v="1"/>
    <x v="6"/>
    <x v="3"/>
    <d v="2026-04-10T14:45:57"/>
  </r>
  <r>
    <n v="985"/>
    <s v="Morgan"/>
    <s v="Johnson"/>
    <n v="51"/>
    <x v="0"/>
    <x v="6"/>
    <x v="11"/>
    <d v="2026-04-10T14:46:25"/>
  </r>
  <r>
    <n v="986"/>
    <s v="Diane"/>
    <s v="Ellison"/>
    <n v="26"/>
    <x v="1"/>
    <x v="5"/>
    <x v="7"/>
    <d v="2026-04-10T14:46:36"/>
  </r>
  <r>
    <n v="987"/>
    <s v="Steven"/>
    <s v="Bass"/>
    <n v="33"/>
    <x v="1"/>
    <x v="0"/>
    <x v="12"/>
    <d v="2026-04-10T14:47:03"/>
  </r>
  <r>
    <n v="988"/>
    <s v="Katie"/>
    <s v="Lara"/>
    <n v="39"/>
    <x v="2"/>
    <x v="5"/>
    <x v="5"/>
    <d v="2026-04-10T14:47:37"/>
  </r>
  <r>
    <n v="989"/>
    <s v="Thomas"/>
    <s v="York"/>
    <n v="64"/>
    <x v="0"/>
    <x v="0"/>
    <x v="1"/>
    <d v="2026-04-10T14:48:32"/>
  </r>
  <r>
    <n v="990"/>
    <s v="Amber"/>
    <s v="Smith"/>
    <n v="51"/>
    <x v="0"/>
    <x v="0"/>
    <x v="2"/>
    <d v="2026-04-10T14:49:20"/>
  </r>
  <r>
    <n v="991"/>
    <s v="Christopher"/>
    <s v="Garcia"/>
    <n v="51"/>
    <x v="0"/>
    <x v="1"/>
    <x v="11"/>
    <d v="2026-04-10T14:49:55"/>
  </r>
  <r>
    <n v="992"/>
    <s v="Erin"/>
    <s v="Nelson"/>
    <n v="53"/>
    <x v="0"/>
    <x v="6"/>
    <x v="10"/>
    <d v="2026-04-10T14:50:49"/>
  </r>
  <r>
    <n v="993"/>
    <s v="Tina"/>
    <s v="Clark"/>
    <n v="57"/>
    <x v="0"/>
    <x v="1"/>
    <x v="5"/>
    <d v="2026-04-10T14:51:16"/>
  </r>
  <r>
    <n v="994"/>
    <s v="Michael"/>
    <s v="Brooks"/>
    <n v="27"/>
    <x v="1"/>
    <x v="2"/>
    <x v="15"/>
    <d v="2026-04-10T14:51:42"/>
  </r>
  <r>
    <n v="995"/>
    <s v="Steven"/>
    <s v="Williams"/>
    <n v="48"/>
    <x v="1"/>
    <x v="3"/>
    <x v="5"/>
    <d v="2026-04-10T14:52:05"/>
  </r>
  <r>
    <n v="996"/>
    <s v="Jamie"/>
    <s v="Gray"/>
    <n v="26"/>
    <x v="0"/>
    <x v="1"/>
    <x v="13"/>
    <d v="2026-04-10T14:52:33"/>
  </r>
  <r>
    <n v="997"/>
    <s v="Alicia"/>
    <s v="Green"/>
    <n v="18"/>
    <x v="2"/>
    <x v="2"/>
    <x v="8"/>
    <d v="2026-04-10T14:53:26"/>
  </r>
  <r>
    <n v="998"/>
    <s v="Lisa"/>
    <s v="Davis"/>
    <n v="36"/>
    <x v="1"/>
    <x v="3"/>
    <x v="1"/>
    <d v="2026-04-10T14:53:40"/>
  </r>
  <r>
    <n v="999"/>
    <s v="Christina"/>
    <s v="Davis"/>
    <n v="39"/>
    <x v="2"/>
    <x v="6"/>
    <x v="3"/>
    <d v="2026-04-10T14:54:15"/>
  </r>
  <r>
    <n v="1000"/>
    <s v="Sherry"/>
    <s v="Nguyen"/>
    <n v="21"/>
    <x v="1"/>
    <x v="0"/>
    <x v="12"/>
    <d v="2026-04-10T14:54:34"/>
  </r>
  <r>
    <n v="1001"/>
    <s v="Scott"/>
    <s v="Thomas"/>
    <n v="46"/>
    <x v="1"/>
    <x v="3"/>
    <x v="18"/>
    <d v="2026-04-10T14:55:11"/>
  </r>
  <r>
    <n v="1002"/>
    <s v="William"/>
    <s v="Castro"/>
    <n v="65"/>
    <x v="0"/>
    <x v="5"/>
    <x v="9"/>
    <d v="2026-04-10T14:56:01"/>
  </r>
  <r>
    <n v="1003"/>
    <s v="April"/>
    <s v="Cunningham"/>
    <n v="24"/>
    <x v="0"/>
    <x v="0"/>
    <x v="16"/>
    <d v="2026-04-10T14:56:24"/>
  </r>
  <r>
    <n v="1004"/>
    <s v="Michael"/>
    <s v="Davidson"/>
    <n v="56"/>
    <x v="2"/>
    <x v="6"/>
    <x v="6"/>
    <d v="2026-04-10T14:56:44"/>
  </r>
  <r>
    <n v="1005"/>
    <s v="Michael"/>
    <s v="Cummings"/>
    <n v="49"/>
    <x v="2"/>
    <x v="1"/>
    <x v="3"/>
    <d v="2026-04-10T14:57:41"/>
  </r>
  <r>
    <n v="1006"/>
    <s v="Deborah"/>
    <s v="Boone"/>
    <n v="23"/>
    <x v="2"/>
    <x v="3"/>
    <x v="2"/>
    <d v="2026-04-10T14:58:12"/>
  </r>
  <r>
    <n v="1007"/>
    <s v="Shawn"/>
    <s v="Armstrong"/>
    <n v="31"/>
    <x v="2"/>
    <x v="5"/>
    <x v="0"/>
    <d v="2026-04-10T14:59:06"/>
  </r>
  <r>
    <n v="1008"/>
    <s v="Thomas"/>
    <s v="Cooper"/>
    <n v="69"/>
    <x v="2"/>
    <x v="4"/>
    <x v="6"/>
    <d v="2026-04-12T11:48:27"/>
  </r>
  <r>
    <n v="1009"/>
    <s v="Trevor"/>
    <s v="Sanchez"/>
    <n v="47"/>
    <x v="0"/>
    <x v="2"/>
    <x v="7"/>
    <d v="2026-04-12T11:49:10"/>
  </r>
  <r>
    <n v="1010"/>
    <s v="Whitney"/>
    <s v="Dixon"/>
    <n v="18"/>
    <x v="1"/>
    <x v="5"/>
    <x v="11"/>
    <d v="2026-04-12T11:49:21"/>
  </r>
  <r>
    <n v="1011"/>
    <s v="Sherry"/>
    <s v="Morrison"/>
    <n v="67"/>
    <x v="1"/>
    <x v="0"/>
    <x v="2"/>
    <d v="2026-04-12T11:49:37"/>
  </r>
  <r>
    <n v="1012"/>
    <s v="Donna"/>
    <s v="Sloan"/>
    <n v="42"/>
    <x v="1"/>
    <x v="2"/>
    <x v="3"/>
    <d v="2026-04-12T11:50:33"/>
  </r>
  <r>
    <n v="1013"/>
    <s v="Jennifer"/>
    <s v="Lewis"/>
    <n v="54"/>
    <x v="0"/>
    <x v="0"/>
    <x v="15"/>
    <d v="2026-04-12T11:51:19"/>
  </r>
  <r>
    <n v="1014"/>
    <s v="Donna"/>
    <s v="Green"/>
    <n v="69"/>
    <x v="2"/>
    <x v="0"/>
    <x v="8"/>
    <d v="2026-04-12T11:51:49"/>
  </r>
  <r>
    <n v="1015"/>
    <s v="Matthew"/>
    <s v="Castaneda"/>
    <n v="59"/>
    <x v="0"/>
    <x v="0"/>
    <x v="7"/>
    <d v="2026-04-12T11:52:19"/>
  </r>
  <r>
    <n v="1016"/>
    <s v="Timothy"/>
    <s v="Andrews"/>
    <n v="59"/>
    <x v="1"/>
    <x v="6"/>
    <x v="16"/>
    <d v="2026-04-12T11:52:45"/>
  </r>
  <r>
    <n v="1017"/>
    <s v="Jonathan"/>
    <s v="Davies"/>
    <n v="30"/>
    <x v="0"/>
    <x v="0"/>
    <x v="2"/>
    <d v="2026-04-12T11:53:08"/>
  </r>
  <r>
    <n v="1018"/>
    <s v="Lisa"/>
    <s v="Everett"/>
    <n v="44"/>
    <x v="2"/>
    <x v="2"/>
    <x v="9"/>
    <d v="2026-04-12T11:53:46"/>
  </r>
  <r>
    <n v="1019"/>
    <s v="Kimberly"/>
    <s v="Montoya"/>
    <n v="49"/>
    <x v="1"/>
    <x v="1"/>
    <x v="8"/>
    <d v="2026-04-12T11:54:16"/>
  </r>
  <r>
    <n v="1020"/>
    <s v="Kathryn"/>
    <s v="Matthews"/>
    <n v="32"/>
    <x v="0"/>
    <x v="3"/>
    <x v="1"/>
    <d v="2026-04-12T11:54:51"/>
  </r>
  <r>
    <n v="1021"/>
    <s v="Wendy"/>
    <s v="Turner"/>
    <n v="43"/>
    <x v="1"/>
    <x v="2"/>
    <x v="17"/>
    <d v="2026-04-12T11:55:17"/>
  </r>
  <r>
    <n v="1022"/>
    <s v="Terri"/>
    <s v="Warren"/>
    <n v="39"/>
    <x v="1"/>
    <x v="0"/>
    <x v="15"/>
    <d v="2026-04-12T11:55:44"/>
  </r>
  <r>
    <n v="1023"/>
    <s v="Kevin"/>
    <s v="Baker"/>
    <n v="45"/>
    <x v="0"/>
    <x v="2"/>
    <x v="3"/>
    <d v="2026-04-12T11:56:13"/>
  </r>
  <r>
    <n v="1024"/>
    <s v="Courtney"/>
    <s v="Ruiz"/>
    <n v="56"/>
    <x v="2"/>
    <x v="6"/>
    <x v="2"/>
    <d v="2026-04-12T11:56:27"/>
  </r>
  <r>
    <n v="1025"/>
    <s v="Laura"/>
    <s v="Erickson"/>
    <n v="57"/>
    <x v="0"/>
    <x v="6"/>
    <x v="12"/>
    <d v="2026-04-12T11:57:04"/>
  </r>
  <r>
    <n v="1026"/>
    <s v="Cathy"/>
    <s v="Clark"/>
    <n v="49"/>
    <x v="2"/>
    <x v="6"/>
    <x v="11"/>
    <d v="2026-04-12T11:57:31"/>
  </r>
  <r>
    <n v="1027"/>
    <s v="Angela"/>
    <s v="Brown"/>
    <n v="31"/>
    <x v="1"/>
    <x v="3"/>
    <x v="16"/>
    <d v="2026-04-12T11:58:17"/>
  </r>
  <r>
    <n v="1028"/>
    <s v="David"/>
    <s v="Ball"/>
    <n v="46"/>
    <x v="2"/>
    <x v="2"/>
    <x v="5"/>
    <d v="2026-04-12T11:58:27"/>
  </r>
  <r>
    <n v="1029"/>
    <s v="Melanie"/>
    <s v="Larson"/>
    <n v="47"/>
    <x v="0"/>
    <x v="3"/>
    <x v="0"/>
    <d v="2026-04-12T11:58:39"/>
  </r>
  <r>
    <n v="1030"/>
    <s v="Michael"/>
    <s v="Chavez"/>
    <n v="44"/>
    <x v="1"/>
    <x v="3"/>
    <x v="15"/>
    <d v="2026-04-12T11:58:58"/>
  </r>
  <r>
    <n v="1031"/>
    <s v="William"/>
    <s v="Smith"/>
    <n v="48"/>
    <x v="2"/>
    <x v="3"/>
    <x v="7"/>
    <d v="2026-04-12T11:59:41"/>
  </r>
  <r>
    <n v="1032"/>
    <s v="Adam"/>
    <s v="Patterson"/>
    <n v="56"/>
    <x v="2"/>
    <x v="1"/>
    <x v="19"/>
    <d v="2026-04-12T11:59:53"/>
  </r>
  <r>
    <n v="1033"/>
    <s v="Michelle"/>
    <s v="Thompson"/>
    <n v="50"/>
    <x v="0"/>
    <x v="4"/>
    <x v="0"/>
    <d v="2026-04-12T12:00:37"/>
  </r>
  <r>
    <n v="1034"/>
    <s v="Jonathan"/>
    <s v="Hughes"/>
    <n v="66"/>
    <x v="0"/>
    <x v="6"/>
    <x v="6"/>
    <d v="2026-04-12T12:01:27"/>
  </r>
  <r>
    <n v="1035"/>
    <s v="Joseph"/>
    <s v="Robbins"/>
    <n v="64"/>
    <x v="2"/>
    <x v="0"/>
    <x v="15"/>
    <d v="2026-04-12T12:01:49"/>
  </r>
  <r>
    <n v="1036"/>
    <s v="Rebecca"/>
    <s v="Ramirez"/>
    <n v="41"/>
    <x v="1"/>
    <x v="3"/>
    <x v="14"/>
    <d v="2026-04-12T12:02:00"/>
  </r>
  <r>
    <n v="1037"/>
    <s v="Justin"/>
    <s v="Davis"/>
    <n v="18"/>
    <x v="1"/>
    <x v="1"/>
    <x v="14"/>
    <d v="2026-04-12T12:02:33"/>
  </r>
  <r>
    <n v="1038"/>
    <s v="Alexandria"/>
    <s v="Wright"/>
    <n v="39"/>
    <x v="1"/>
    <x v="5"/>
    <x v="6"/>
    <d v="2026-04-12T12:03:31"/>
  </r>
  <r>
    <n v="1039"/>
    <s v="Jennifer"/>
    <s v="Alvarez"/>
    <n v="49"/>
    <x v="2"/>
    <x v="3"/>
    <x v="0"/>
    <d v="2026-04-12T12:04:08"/>
  </r>
  <r>
    <n v="1040"/>
    <s v="Summer"/>
    <s v="Hernandez"/>
    <n v="67"/>
    <x v="2"/>
    <x v="6"/>
    <x v="4"/>
    <d v="2026-04-12T12:05:05"/>
  </r>
  <r>
    <n v="1041"/>
    <s v="Matthew"/>
    <s v="Ramirez"/>
    <n v="67"/>
    <x v="1"/>
    <x v="4"/>
    <x v="1"/>
    <d v="2026-04-12T12:05:52"/>
  </r>
  <r>
    <n v="1042"/>
    <s v="Tyler"/>
    <s v="Rivera"/>
    <n v="57"/>
    <x v="1"/>
    <x v="4"/>
    <x v="0"/>
    <d v="2026-04-12T12:06:28"/>
  </r>
  <r>
    <n v="1043"/>
    <s v="Christine"/>
    <s v="Olsen"/>
    <n v="70"/>
    <x v="0"/>
    <x v="1"/>
    <x v="2"/>
    <d v="2026-04-12T12:07:00"/>
  </r>
  <r>
    <n v="1044"/>
    <s v="Patricia"/>
    <s v="Roberson"/>
    <n v="20"/>
    <x v="1"/>
    <x v="3"/>
    <x v="15"/>
    <d v="2026-04-12T12:07:42"/>
  </r>
  <r>
    <n v="1045"/>
    <s v="Heather"/>
    <s v="Owens"/>
    <n v="47"/>
    <x v="0"/>
    <x v="4"/>
    <x v="16"/>
    <d v="2026-04-12T12:08:00"/>
  </r>
  <r>
    <n v="1046"/>
    <s v="Diana"/>
    <s v="Dunn"/>
    <n v="54"/>
    <x v="1"/>
    <x v="6"/>
    <x v="2"/>
    <d v="2026-04-12T12:08:44"/>
  </r>
  <r>
    <n v="1047"/>
    <s v="Katrina"/>
    <s v="Oliver"/>
    <n v="43"/>
    <x v="1"/>
    <x v="0"/>
    <x v="6"/>
    <d v="2026-04-12T12:09:13"/>
  </r>
  <r>
    <n v="1048"/>
    <s v="Ricardo"/>
    <s v="Logan"/>
    <n v="41"/>
    <x v="0"/>
    <x v="0"/>
    <x v="5"/>
    <d v="2026-04-12T12:10:10"/>
  </r>
  <r>
    <n v="1049"/>
    <s v="Wendy"/>
    <s v="Wilkins"/>
    <n v="54"/>
    <x v="2"/>
    <x v="1"/>
    <x v="15"/>
    <d v="2026-04-12T12:10:40"/>
  </r>
  <r>
    <n v="1050"/>
    <s v="Amy"/>
    <s v="Anderson"/>
    <n v="70"/>
    <x v="2"/>
    <x v="2"/>
    <x v="5"/>
    <d v="2026-04-12T12:11:11"/>
  </r>
  <r>
    <n v="1051"/>
    <s v="Jasmine"/>
    <s v="Hill"/>
    <n v="20"/>
    <x v="1"/>
    <x v="0"/>
    <x v="11"/>
    <d v="2026-04-12T12:11:44"/>
  </r>
  <r>
    <n v="1052"/>
    <s v="Pamela"/>
    <s v="Johnson"/>
    <n v="64"/>
    <x v="1"/>
    <x v="0"/>
    <x v="8"/>
    <d v="2026-04-12T12:12:12"/>
  </r>
  <r>
    <n v="1053"/>
    <s v="Jeffrey"/>
    <s v="Owens"/>
    <n v="37"/>
    <x v="0"/>
    <x v="5"/>
    <x v="9"/>
    <d v="2026-04-12T12:13:02"/>
  </r>
  <r>
    <n v="1054"/>
    <s v="Melanie"/>
    <s v="Davis"/>
    <n v="34"/>
    <x v="1"/>
    <x v="2"/>
    <x v="10"/>
    <d v="2026-04-12T12:13:56"/>
  </r>
  <r>
    <n v="1055"/>
    <s v="Samuel"/>
    <s v="Smith"/>
    <n v="22"/>
    <x v="1"/>
    <x v="5"/>
    <x v="10"/>
    <d v="2026-04-12T12:14:35"/>
  </r>
  <r>
    <n v="1056"/>
    <s v="Laura"/>
    <s v="Anderson"/>
    <n v="52"/>
    <x v="1"/>
    <x v="1"/>
    <x v="2"/>
    <d v="2026-04-12T12:15:10"/>
  </r>
  <r>
    <n v="1057"/>
    <s v="Allison"/>
    <s v="Duncan"/>
    <n v="37"/>
    <x v="1"/>
    <x v="0"/>
    <x v="15"/>
    <d v="2026-04-12T12:15:35"/>
  </r>
  <r>
    <n v="1058"/>
    <s v="Frank"/>
    <s v="Cantu"/>
    <n v="45"/>
    <x v="0"/>
    <x v="3"/>
    <x v="15"/>
    <d v="2026-04-12T12:16:23"/>
  </r>
  <r>
    <n v="1059"/>
    <s v="Monica"/>
    <s v="Ochoa"/>
    <n v="25"/>
    <x v="0"/>
    <x v="2"/>
    <x v="0"/>
    <d v="2026-04-12T12:16:55"/>
  </r>
  <r>
    <n v="1060"/>
    <s v="Elizabeth"/>
    <s v="Bennett"/>
    <n v="43"/>
    <x v="2"/>
    <x v="6"/>
    <x v="0"/>
    <d v="2026-04-12T12:17:50"/>
  </r>
  <r>
    <n v="1061"/>
    <s v="Charles"/>
    <s v="Johnson"/>
    <n v="26"/>
    <x v="2"/>
    <x v="5"/>
    <x v="2"/>
    <d v="2026-04-12T12:18:28"/>
  </r>
  <r>
    <n v="1062"/>
    <s v="Erica"/>
    <s v="Davidson"/>
    <n v="56"/>
    <x v="0"/>
    <x v="4"/>
    <x v="8"/>
    <d v="2026-04-12T12:19:06"/>
  </r>
  <r>
    <n v="1063"/>
    <s v="Paula"/>
    <s v="Cox"/>
    <n v="57"/>
    <x v="0"/>
    <x v="6"/>
    <x v="3"/>
    <d v="2026-04-12T12:19:58"/>
  </r>
  <r>
    <n v="1064"/>
    <s v="Elizabeth"/>
    <s v="Herrera"/>
    <n v="26"/>
    <x v="0"/>
    <x v="1"/>
    <x v="9"/>
    <d v="2026-04-12T12:20:09"/>
  </r>
  <r>
    <n v="1065"/>
    <s v="William"/>
    <s v="Peterson"/>
    <n v="51"/>
    <x v="2"/>
    <x v="2"/>
    <x v="14"/>
    <d v="2026-04-12T12:21:03"/>
  </r>
  <r>
    <n v="1066"/>
    <s v="Jennifer"/>
    <s v="Griffin"/>
    <n v="35"/>
    <x v="2"/>
    <x v="6"/>
    <x v="1"/>
    <d v="2026-04-12T12:21:16"/>
  </r>
  <r>
    <n v="1067"/>
    <s v="Jason"/>
    <s v="Gardner"/>
    <n v="18"/>
    <x v="2"/>
    <x v="5"/>
    <x v="4"/>
    <d v="2026-04-12T12:22:10"/>
  </r>
  <r>
    <n v="1068"/>
    <s v="Laura"/>
    <s v="Sanders"/>
    <n v="41"/>
    <x v="2"/>
    <x v="3"/>
    <x v="17"/>
    <d v="2026-04-12T12:22:48"/>
  </r>
  <r>
    <n v="1069"/>
    <s v="Adam"/>
    <s v="Anderson"/>
    <n v="35"/>
    <x v="1"/>
    <x v="2"/>
    <x v="0"/>
    <d v="2026-04-12T12:23:41"/>
  </r>
  <r>
    <n v="1070"/>
    <s v="Donald"/>
    <s v="Reese"/>
    <n v="33"/>
    <x v="0"/>
    <x v="5"/>
    <x v="6"/>
    <d v="2026-04-12T12:24:09"/>
  </r>
  <r>
    <n v="1071"/>
    <s v="Maria"/>
    <s v="Valdez"/>
    <n v="63"/>
    <x v="2"/>
    <x v="1"/>
    <x v="6"/>
    <d v="2026-04-12T12:24:50"/>
  </r>
  <r>
    <n v="1072"/>
    <s v="Jennifer"/>
    <s v="Morris"/>
    <n v="18"/>
    <x v="1"/>
    <x v="4"/>
    <x v="14"/>
    <d v="2026-04-12T12:25:47"/>
  </r>
  <r>
    <n v="1073"/>
    <s v="Daniel"/>
    <s v="Smith"/>
    <n v="32"/>
    <x v="1"/>
    <x v="5"/>
    <x v="10"/>
    <d v="2026-04-12T12:26:31"/>
  </r>
  <r>
    <n v="1074"/>
    <s v="Nancy"/>
    <s v="Murphy"/>
    <n v="34"/>
    <x v="2"/>
    <x v="4"/>
    <x v="13"/>
    <d v="2026-04-12T12:27:24"/>
  </r>
  <r>
    <n v="1075"/>
    <s v="James"/>
    <s v="Holland"/>
    <n v="23"/>
    <x v="0"/>
    <x v="0"/>
    <x v="6"/>
    <d v="2026-04-12T12:28:11"/>
  </r>
  <r>
    <n v="1076"/>
    <s v="Chloe"/>
    <s v="Gonzales"/>
    <n v="22"/>
    <x v="0"/>
    <x v="0"/>
    <x v="18"/>
    <d v="2026-04-12T12:28:23"/>
  </r>
  <r>
    <n v="1077"/>
    <s v="Katherine"/>
    <s v="Ingram"/>
    <n v="48"/>
    <x v="0"/>
    <x v="5"/>
    <x v="13"/>
    <d v="2026-04-12T12:28:53"/>
  </r>
  <r>
    <n v="1078"/>
    <s v="Morgan"/>
    <s v="Vazquez"/>
    <n v="20"/>
    <x v="0"/>
    <x v="0"/>
    <x v="2"/>
    <d v="2026-04-12T12:29:20"/>
  </r>
  <r>
    <n v="1079"/>
    <s v="Anita"/>
    <s v="Martin"/>
    <n v="28"/>
    <x v="1"/>
    <x v="5"/>
    <x v="14"/>
    <d v="2026-04-12T12:29:42"/>
  </r>
  <r>
    <n v="1080"/>
    <s v="Brenda"/>
    <s v="Mckay"/>
    <n v="32"/>
    <x v="1"/>
    <x v="0"/>
    <x v="13"/>
    <d v="2026-04-12T12:30:37"/>
  </r>
  <r>
    <n v="1081"/>
    <s v="Jennifer"/>
    <s v="Anderson"/>
    <n v="48"/>
    <x v="1"/>
    <x v="3"/>
    <x v="7"/>
    <d v="2026-04-12T12:31:29"/>
  </r>
  <r>
    <n v="1082"/>
    <s v="Kenneth"/>
    <s v="Cook"/>
    <n v="67"/>
    <x v="1"/>
    <x v="2"/>
    <x v="0"/>
    <d v="2026-04-12T12:32:08"/>
  </r>
  <r>
    <n v="1083"/>
    <s v="Jennifer"/>
    <s v="Ruiz"/>
    <n v="70"/>
    <x v="2"/>
    <x v="3"/>
    <x v="3"/>
    <d v="2026-04-12T12:32:20"/>
  </r>
  <r>
    <n v="1084"/>
    <s v="David"/>
    <s v="Lee"/>
    <n v="37"/>
    <x v="1"/>
    <x v="3"/>
    <x v="15"/>
    <d v="2026-04-12T12:33:14"/>
  </r>
  <r>
    <n v="1085"/>
    <s v="Jeremy"/>
    <s v="Boyle"/>
    <n v="50"/>
    <x v="2"/>
    <x v="5"/>
    <x v="2"/>
    <d v="2026-04-12T12:33:27"/>
  </r>
  <r>
    <n v="1086"/>
    <s v="Bradley"/>
    <s v="Garcia"/>
    <n v="32"/>
    <x v="1"/>
    <x v="6"/>
    <x v="2"/>
    <d v="2026-04-12T12:34:12"/>
  </r>
  <r>
    <n v="1087"/>
    <s v="Justin"/>
    <s v="Lambert"/>
    <n v="57"/>
    <x v="2"/>
    <x v="4"/>
    <x v="10"/>
    <d v="2026-04-12T12:35:09"/>
  </r>
  <r>
    <n v="1088"/>
    <s v="Matthew"/>
    <s v="Bennett"/>
    <n v="58"/>
    <x v="2"/>
    <x v="5"/>
    <x v="6"/>
    <d v="2026-04-12T12:35:25"/>
  </r>
  <r>
    <n v="1089"/>
    <s v="Steven"/>
    <s v="Jones"/>
    <n v="36"/>
    <x v="1"/>
    <x v="0"/>
    <x v="3"/>
    <d v="2026-04-12T12:36:19"/>
  </r>
  <r>
    <n v="1090"/>
    <s v="David"/>
    <s v="Harris"/>
    <n v="23"/>
    <x v="2"/>
    <x v="3"/>
    <x v="9"/>
    <d v="2026-04-12T12:36:59"/>
  </r>
  <r>
    <n v="1091"/>
    <s v="Brian"/>
    <s v="Jackson"/>
    <n v="60"/>
    <x v="0"/>
    <x v="3"/>
    <x v="6"/>
    <d v="2026-04-12T12:37:47"/>
  </r>
  <r>
    <n v="1092"/>
    <s v="Mark"/>
    <s v="Brown"/>
    <n v="67"/>
    <x v="0"/>
    <x v="2"/>
    <x v="0"/>
    <d v="2026-04-12T12:38:01"/>
  </r>
  <r>
    <n v="1093"/>
    <s v="Jessica"/>
    <s v="Sanchez"/>
    <n v="57"/>
    <x v="1"/>
    <x v="4"/>
    <x v="3"/>
    <d v="2026-04-12T12:38:15"/>
  </r>
  <r>
    <n v="1094"/>
    <s v="Michael"/>
    <s v="Schmidt"/>
    <n v="25"/>
    <x v="2"/>
    <x v="0"/>
    <x v="4"/>
    <d v="2026-04-12T12:38:34"/>
  </r>
  <r>
    <n v="1095"/>
    <s v="Carla"/>
    <s v="Young"/>
    <n v="23"/>
    <x v="1"/>
    <x v="2"/>
    <x v="7"/>
    <d v="2026-04-12T12:38:45"/>
  </r>
  <r>
    <n v="1096"/>
    <s v="Kelsey"/>
    <s v="Short"/>
    <n v="62"/>
    <x v="1"/>
    <x v="6"/>
    <x v="19"/>
    <d v="2026-04-12T12:38:56"/>
  </r>
  <r>
    <n v="1097"/>
    <s v="Linda"/>
    <s v="Huff"/>
    <n v="53"/>
    <x v="1"/>
    <x v="0"/>
    <x v="3"/>
    <d v="2026-04-12T12:39:12"/>
  </r>
  <r>
    <n v="1098"/>
    <s v="David"/>
    <s v="Jones"/>
    <n v="39"/>
    <x v="0"/>
    <x v="0"/>
    <x v="17"/>
    <d v="2026-04-12T12:40:06"/>
  </r>
  <r>
    <n v="1099"/>
    <s v="John"/>
    <s v="Houston"/>
    <n v="57"/>
    <x v="2"/>
    <x v="6"/>
    <x v="18"/>
    <d v="2026-04-12T12:40:32"/>
  </r>
  <r>
    <n v="1100"/>
    <s v="Christian"/>
    <s v="Bell"/>
    <n v="67"/>
    <x v="2"/>
    <x v="0"/>
    <x v="15"/>
    <d v="2026-04-12T12:41:20"/>
  </r>
  <r>
    <n v="1101"/>
    <s v="Erik"/>
    <s v="Scott"/>
    <n v="62"/>
    <x v="0"/>
    <x v="1"/>
    <x v="16"/>
    <d v="2026-04-12T12:42:12"/>
  </r>
  <r>
    <n v="1102"/>
    <s v="Cameron"/>
    <s v="Mclaughlin"/>
    <n v="63"/>
    <x v="1"/>
    <x v="0"/>
    <x v="16"/>
    <d v="2026-04-12T12:42:23"/>
  </r>
  <r>
    <n v="1103"/>
    <s v="Cindy"/>
    <s v="Garcia"/>
    <n v="69"/>
    <x v="2"/>
    <x v="2"/>
    <x v="1"/>
    <d v="2026-04-12T12:42:35"/>
  </r>
  <r>
    <n v="1104"/>
    <s v="Michael"/>
    <s v="Williams"/>
    <n v="47"/>
    <x v="1"/>
    <x v="5"/>
    <x v="7"/>
    <d v="2026-04-12T12:43:16"/>
  </r>
  <r>
    <n v="1105"/>
    <s v="Nicole"/>
    <s v="Bailey"/>
    <n v="44"/>
    <x v="1"/>
    <x v="2"/>
    <x v="10"/>
    <d v="2026-04-12T12:43:29"/>
  </r>
  <r>
    <n v="1106"/>
    <s v="Travis"/>
    <s v="Graves"/>
    <n v="55"/>
    <x v="0"/>
    <x v="4"/>
    <x v="19"/>
    <d v="2026-04-12T12:43:47"/>
  </r>
  <r>
    <n v="1107"/>
    <s v="Melissa"/>
    <s v="Mckay"/>
    <n v="35"/>
    <x v="2"/>
    <x v="1"/>
    <x v="10"/>
    <d v="2026-04-12T12:44:25"/>
  </r>
  <r>
    <n v="1108"/>
    <s v="Robert"/>
    <s v="Adams"/>
    <n v="32"/>
    <x v="2"/>
    <x v="5"/>
    <x v="11"/>
    <d v="2026-04-13T14:30:25"/>
  </r>
  <r>
    <n v="1109"/>
    <s v="Austin"/>
    <s v="Stout"/>
    <n v="69"/>
    <x v="2"/>
    <x v="3"/>
    <x v="18"/>
    <d v="2026-04-13T14:31:01"/>
  </r>
  <r>
    <n v="1110"/>
    <s v="James"/>
    <s v="Schmidt"/>
    <n v="52"/>
    <x v="2"/>
    <x v="1"/>
    <x v="3"/>
    <d v="2026-04-13T14:31:44"/>
  </r>
  <r>
    <n v="1111"/>
    <s v="Megan"/>
    <s v="Gregory"/>
    <n v="41"/>
    <x v="1"/>
    <x v="6"/>
    <x v="0"/>
    <d v="2026-04-13T14:32:34"/>
  </r>
  <r>
    <n v="1112"/>
    <s v="Brian"/>
    <s v="Garrett"/>
    <n v="54"/>
    <x v="2"/>
    <x v="0"/>
    <x v="9"/>
    <d v="2026-04-13T14:33:30"/>
  </r>
  <r>
    <n v="1113"/>
    <s v="David"/>
    <s v="Campbell"/>
    <n v="63"/>
    <x v="1"/>
    <x v="5"/>
    <x v="6"/>
    <d v="2026-04-13T14:34:10"/>
  </r>
  <r>
    <n v="1114"/>
    <s v="Susan"/>
    <s v="Hawkins"/>
    <n v="61"/>
    <x v="1"/>
    <x v="1"/>
    <x v="18"/>
    <d v="2026-04-13T14:34:30"/>
  </r>
  <r>
    <n v="1115"/>
    <s v="Fred"/>
    <s v="Washington"/>
    <n v="55"/>
    <x v="0"/>
    <x v="4"/>
    <x v="15"/>
    <d v="2026-04-13T14:34:52"/>
  </r>
  <r>
    <n v="1116"/>
    <s v="Paul"/>
    <s v="Francis"/>
    <n v="23"/>
    <x v="0"/>
    <x v="1"/>
    <x v="14"/>
    <d v="2026-04-13T14:35:48"/>
  </r>
  <r>
    <n v="1117"/>
    <s v="Joe"/>
    <s v="Burgess"/>
    <n v="59"/>
    <x v="1"/>
    <x v="1"/>
    <x v="6"/>
    <d v="2026-04-13T14:35:59"/>
  </r>
  <r>
    <n v="1118"/>
    <s v="Jason"/>
    <s v="Scott"/>
    <n v="60"/>
    <x v="1"/>
    <x v="5"/>
    <x v="6"/>
    <d v="2026-04-13T14:36:41"/>
  </r>
  <r>
    <n v="1119"/>
    <s v="Jaime"/>
    <s v="Landry"/>
    <n v="63"/>
    <x v="2"/>
    <x v="3"/>
    <x v="9"/>
    <d v="2026-04-13T14:37:15"/>
  </r>
  <r>
    <n v="1120"/>
    <s v="Evelyn"/>
    <s v="Rivera"/>
    <n v="30"/>
    <x v="2"/>
    <x v="3"/>
    <x v="6"/>
    <d v="2026-04-13T14:38:11"/>
  </r>
  <r>
    <n v="1121"/>
    <s v="Matthew"/>
    <s v="Stewart"/>
    <n v="40"/>
    <x v="2"/>
    <x v="2"/>
    <x v="5"/>
    <d v="2026-04-13T14:38:36"/>
  </r>
  <r>
    <n v="1122"/>
    <s v="Kelly"/>
    <s v="Harris"/>
    <n v="69"/>
    <x v="2"/>
    <x v="0"/>
    <x v="0"/>
    <d v="2026-04-13T14:39:13"/>
  </r>
  <r>
    <n v="1123"/>
    <s v="Melissa"/>
    <s v="Elliott"/>
    <n v="33"/>
    <x v="2"/>
    <x v="1"/>
    <x v="17"/>
    <d v="2026-04-13T14:40:11"/>
  </r>
  <r>
    <n v="1124"/>
    <s v="Hannah"/>
    <s v="Johnson"/>
    <n v="48"/>
    <x v="0"/>
    <x v="1"/>
    <x v="13"/>
    <d v="2026-04-13T14:41:04"/>
  </r>
  <r>
    <n v="1125"/>
    <s v="Kathryn"/>
    <s v="Park"/>
    <n v="18"/>
    <x v="2"/>
    <x v="1"/>
    <x v="7"/>
    <d v="2026-04-13T14:41:14"/>
  </r>
  <r>
    <n v="1126"/>
    <s v="Stephen"/>
    <s v="Reeves"/>
    <n v="59"/>
    <x v="2"/>
    <x v="6"/>
    <x v="7"/>
    <d v="2026-04-13T14:41:36"/>
  </r>
  <r>
    <n v="1127"/>
    <s v="John"/>
    <s v="Moore"/>
    <n v="37"/>
    <x v="2"/>
    <x v="1"/>
    <x v="15"/>
    <d v="2026-04-13T14:42:20"/>
  </r>
  <r>
    <n v="1128"/>
    <s v="Cynthia"/>
    <s v="Bowers"/>
    <n v="19"/>
    <x v="2"/>
    <x v="5"/>
    <x v="14"/>
    <d v="2026-04-13T14:42:38"/>
  </r>
  <r>
    <n v="1129"/>
    <s v="Bryan"/>
    <s v="Aguilar"/>
    <n v="36"/>
    <x v="0"/>
    <x v="2"/>
    <x v="9"/>
    <d v="2026-04-13T14:43:10"/>
  </r>
  <r>
    <n v="1130"/>
    <s v="Annette"/>
    <s v="Thompson"/>
    <n v="69"/>
    <x v="2"/>
    <x v="1"/>
    <x v="14"/>
    <d v="2026-04-13T14:43:20"/>
  </r>
  <r>
    <n v="1131"/>
    <s v="Jared"/>
    <s v="Hanson"/>
    <n v="51"/>
    <x v="1"/>
    <x v="0"/>
    <x v="2"/>
    <d v="2026-04-13T14:43:54"/>
  </r>
  <r>
    <n v="1132"/>
    <s v="Gregory"/>
    <s v="Norris"/>
    <n v="37"/>
    <x v="1"/>
    <x v="1"/>
    <x v="2"/>
    <d v="2026-04-13T14:44:43"/>
  </r>
  <r>
    <n v="1133"/>
    <s v="Nathan"/>
    <s v="Oliver"/>
    <n v="26"/>
    <x v="1"/>
    <x v="3"/>
    <x v="6"/>
    <d v="2026-04-13T14:45:38"/>
  </r>
  <r>
    <n v="1134"/>
    <s v="Margaret"/>
    <s v="Johnson"/>
    <n v="35"/>
    <x v="1"/>
    <x v="3"/>
    <x v="9"/>
    <d v="2026-04-13T14:46:21"/>
  </r>
  <r>
    <n v="1135"/>
    <s v="Mark"/>
    <s v="Roberts"/>
    <n v="30"/>
    <x v="1"/>
    <x v="1"/>
    <x v="4"/>
    <d v="2026-04-13T14:47:07"/>
  </r>
  <r>
    <n v="1136"/>
    <s v="Cody"/>
    <s v="Garza"/>
    <n v="51"/>
    <x v="2"/>
    <x v="5"/>
    <x v="1"/>
    <d v="2026-04-13T14:47:43"/>
  </r>
  <r>
    <n v="1137"/>
    <s v="Kimberly"/>
    <s v="Patterson"/>
    <n v="46"/>
    <x v="2"/>
    <x v="4"/>
    <x v="18"/>
    <d v="2026-04-13T14:47:55"/>
  </r>
  <r>
    <n v="1138"/>
    <s v="Billy"/>
    <s v="Martin"/>
    <n v="38"/>
    <x v="1"/>
    <x v="1"/>
    <x v="1"/>
    <d v="2026-04-13T14:48:27"/>
  </r>
  <r>
    <n v="1139"/>
    <s v="Javier"/>
    <s v="Anderson"/>
    <n v="42"/>
    <x v="0"/>
    <x v="1"/>
    <x v="15"/>
    <d v="2026-04-13T14:49:10"/>
  </r>
  <r>
    <n v="1140"/>
    <s v="Tonya"/>
    <s v="Perry"/>
    <n v="22"/>
    <x v="2"/>
    <x v="0"/>
    <x v="13"/>
    <d v="2026-04-13T14:49:57"/>
  </r>
  <r>
    <n v="1141"/>
    <s v="Hector"/>
    <s v="Torres"/>
    <n v="66"/>
    <x v="1"/>
    <x v="6"/>
    <x v="10"/>
    <d v="2026-04-13T14:50:52"/>
  </r>
  <r>
    <n v="1142"/>
    <s v="Karen"/>
    <s v="Kelly"/>
    <n v="46"/>
    <x v="1"/>
    <x v="3"/>
    <x v="17"/>
    <d v="2026-04-13T14:51:31"/>
  </r>
  <r>
    <n v="1143"/>
    <s v="Gregory"/>
    <s v="Martinez"/>
    <n v="64"/>
    <x v="2"/>
    <x v="5"/>
    <x v="15"/>
    <d v="2026-04-13T14:51:41"/>
  </r>
  <r>
    <n v="1144"/>
    <s v="Misty"/>
    <s v="Rodriguez"/>
    <n v="42"/>
    <x v="2"/>
    <x v="4"/>
    <x v="0"/>
    <d v="2026-04-13T14:52:19"/>
  </r>
  <r>
    <n v="1145"/>
    <s v="Cynthia"/>
    <s v="Lee"/>
    <n v="66"/>
    <x v="0"/>
    <x v="6"/>
    <x v="16"/>
    <d v="2026-04-13T14:52:38"/>
  </r>
  <r>
    <n v="1146"/>
    <s v="Troy"/>
    <s v="Anderson"/>
    <n v="18"/>
    <x v="0"/>
    <x v="3"/>
    <x v="8"/>
    <d v="2026-04-13T14:53:15"/>
  </r>
  <r>
    <n v="1147"/>
    <s v="Jennifer"/>
    <s v="Miller"/>
    <n v="63"/>
    <x v="0"/>
    <x v="5"/>
    <x v="18"/>
    <d v="2026-04-13T14:54:14"/>
  </r>
  <r>
    <n v="1148"/>
    <s v="Benjamin"/>
    <s v="Walker"/>
    <n v="28"/>
    <x v="1"/>
    <x v="2"/>
    <x v="13"/>
    <d v="2026-04-13T14:54:28"/>
  </r>
  <r>
    <n v="1149"/>
    <s v="Adam"/>
    <s v="Sims"/>
    <n v="62"/>
    <x v="2"/>
    <x v="1"/>
    <x v="15"/>
    <d v="2026-04-13T14:55:25"/>
  </r>
  <r>
    <n v="1150"/>
    <s v="Bruce"/>
    <s v="Ross"/>
    <n v="24"/>
    <x v="2"/>
    <x v="5"/>
    <x v="12"/>
    <d v="2026-04-13T14:55:51"/>
  </r>
  <r>
    <n v="1151"/>
    <s v="Donald"/>
    <s v="Cantrell"/>
    <n v="25"/>
    <x v="0"/>
    <x v="3"/>
    <x v="0"/>
    <d v="2026-04-13T14:56:38"/>
  </r>
  <r>
    <n v="1152"/>
    <s v="Faith"/>
    <s v="Mullen"/>
    <n v="66"/>
    <x v="2"/>
    <x v="2"/>
    <x v="6"/>
    <d v="2026-04-13T14:57:14"/>
  </r>
  <r>
    <n v="1153"/>
    <s v="Barry"/>
    <s v="Nguyen"/>
    <n v="22"/>
    <x v="2"/>
    <x v="1"/>
    <x v="17"/>
    <d v="2026-04-13T14:58:12"/>
  </r>
  <r>
    <n v="1154"/>
    <s v="Timothy"/>
    <s v="Huffman"/>
    <n v="23"/>
    <x v="1"/>
    <x v="4"/>
    <x v="3"/>
    <d v="2026-04-13T14:58:34"/>
  </r>
  <r>
    <n v="1155"/>
    <s v="Brandi"/>
    <s v="Fisher"/>
    <n v="48"/>
    <x v="1"/>
    <x v="4"/>
    <x v="19"/>
    <d v="2026-04-13T14:59:30"/>
  </r>
  <r>
    <n v="1156"/>
    <s v="Tony"/>
    <s v="Gibbs"/>
    <n v="31"/>
    <x v="2"/>
    <x v="0"/>
    <x v="1"/>
    <d v="2026-04-13T14:59:59"/>
  </r>
  <r>
    <n v="1157"/>
    <s v="Stephanie"/>
    <s v="Hughes"/>
    <n v="51"/>
    <x v="1"/>
    <x v="3"/>
    <x v="6"/>
    <d v="2026-04-13T15:00:29"/>
  </r>
  <r>
    <n v="1158"/>
    <s v="Frank"/>
    <s v="Owens"/>
    <n v="37"/>
    <x v="0"/>
    <x v="0"/>
    <x v="0"/>
    <d v="2026-04-13T15:00:39"/>
  </r>
  <r>
    <n v="1159"/>
    <s v="Trevor"/>
    <s v="Burch"/>
    <n v="45"/>
    <x v="1"/>
    <x v="5"/>
    <x v="12"/>
    <d v="2026-04-13T15:01:22"/>
  </r>
  <r>
    <n v="1160"/>
    <s v="Courtney"/>
    <s v="Bell"/>
    <n v="34"/>
    <x v="1"/>
    <x v="4"/>
    <x v="17"/>
    <d v="2026-04-13T15:02:04"/>
  </r>
  <r>
    <n v="1161"/>
    <s v="Stephanie"/>
    <s v="Serrano"/>
    <n v="46"/>
    <x v="2"/>
    <x v="1"/>
    <x v="15"/>
    <d v="2026-04-13T15:02:29"/>
  </r>
  <r>
    <n v="1162"/>
    <s v="Crystal"/>
    <s v="Wiley"/>
    <n v="67"/>
    <x v="2"/>
    <x v="0"/>
    <x v="6"/>
    <d v="2026-04-13T15:02:50"/>
  </r>
  <r>
    <n v="1163"/>
    <s v="Michele"/>
    <s v="Donaldson"/>
    <n v="35"/>
    <x v="1"/>
    <x v="5"/>
    <x v="16"/>
    <d v="2026-04-13T15:03:11"/>
  </r>
  <r>
    <n v="1164"/>
    <s v="Yolanda"/>
    <s v="Vargas"/>
    <n v="28"/>
    <x v="2"/>
    <x v="0"/>
    <x v="1"/>
    <d v="2026-04-13T15:04:03"/>
  </r>
  <r>
    <n v="1165"/>
    <s v="Sandra"/>
    <s v="Sherman"/>
    <n v="41"/>
    <x v="2"/>
    <x v="3"/>
    <x v="0"/>
    <d v="2026-04-13T15:05:03"/>
  </r>
  <r>
    <n v="1166"/>
    <s v="Kelly"/>
    <s v="Campbell"/>
    <n v="32"/>
    <x v="0"/>
    <x v="2"/>
    <x v="3"/>
    <d v="2026-04-13T15:05:45"/>
  </r>
  <r>
    <n v="1167"/>
    <s v="Harry"/>
    <s v="Lin"/>
    <n v="68"/>
    <x v="0"/>
    <x v="6"/>
    <x v="11"/>
    <d v="2026-04-13T15:06:14"/>
  </r>
  <r>
    <n v="1168"/>
    <s v="Mary"/>
    <s v="Johnson"/>
    <n v="66"/>
    <x v="0"/>
    <x v="4"/>
    <x v="3"/>
    <d v="2026-04-13T15:06:38"/>
  </r>
  <r>
    <n v="1169"/>
    <s v="Amanda"/>
    <s v="Gibbs"/>
    <n v="68"/>
    <x v="1"/>
    <x v="6"/>
    <x v="9"/>
    <d v="2026-04-13T15:06:48"/>
  </r>
  <r>
    <n v="1170"/>
    <s v="Michael"/>
    <s v="Leach"/>
    <n v="20"/>
    <x v="2"/>
    <x v="4"/>
    <x v="3"/>
    <d v="2026-04-13T15:07:12"/>
  </r>
  <r>
    <n v="1171"/>
    <s v="Gerald"/>
    <s v="Anderson"/>
    <n v="54"/>
    <x v="1"/>
    <x v="3"/>
    <x v="1"/>
    <d v="2026-04-13T15:07:51"/>
  </r>
  <r>
    <n v="1172"/>
    <s v="Holly"/>
    <s v="Clark"/>
    <n v="38"/>
    <x v="0"/>
    <x v="0"/>
    <x v="0"/>
    <d v="2026-04-13T15:08:35"/>
  </r>
  <r>
    <n v="1173"/>
    <s v="Natalie"/>
    <s v="Hall"/>
    <n v="22"/>
    <x v="2"/>
    <x v="1"/>
    <x v="19"/>
    <d v="2026-04-13T15:09:10"/>
  </r>
  <r>
    <n v="1174"/>
    <s v="Jennifer"/>
    <s v="Pratt"/>
    <n v="34"/>
    <x v="2"/>
    <x v="2"/>
    <x v="3"/>
    <d v="2026-04-13T15:09:22"/>
  </r>
  <r>
    <n v="1175"/>
    <s v="Chelsea"/>
    <s v="Carlson"/>
    <n v="66"/>
    <x v="1"/>
    <x v="6"/>
    <x v="1"/>
    <d v="2026-04-13T15:09:38"/>
  </r>
  <r>
    <n v="1176"/>
    <s v="Diana"/>
    <s v="Howard"/>
    <n v="37"/>
    <x v="0"/>
    <x v="2"/>
    <x v="0"/>
    <d v="2026-04-13T15:09:54"/>
  </r>
  <r>
    <n v="1177"/>
    <s v="Alan"/>
    <s v="Haley"/>
    <n v="59"/>
    <x v="2"/>
    <x v="0"/>
    <x v="0"/>
    <d v="2026-04-13T15:10:22"/>
  </r>
  <r>
    <n v="1178"/>
    <s v="Shawn"/>
    <s v="Peterson"/>
    <n v="68"/>
    <x v="0"/>
    <x v="5"/>
    <x v="19"/>
    <d v="2026-04-13T15:10:41"/>
  </r>
  <r>
    <n v="1179"/>
    <s v="Michelle"/>
    <s v="Ramos"/>
    <n v="35"/>
    <x v="2"/>
    <x v="2"/>
    <x v="2"/>
    <d v="2026-04-13T15:11:30"/>
  </r>
  <r>
    <n v="1180"/>
    <s v="Kevin"/>
    <s v="Smith"/>
    <n v="30"/>
    <x v="0"/>
    <x v="1"/>
    <x v="6"/>
    <d v="2026-04-13T15:12:25"/>
  </r>
  <r>
    <n v="1181"/>
    <s v="Sara"/>
    <s v="Cannon"/>
    <n v="19"/>
    <x v="0"/>
    <x v="2"/>
    <x v="3"/>
    <d v="2026-04-13T15:12:51"/>
  </r>
  <r>
    <n v="1182"/>
    <s v="Felicia"/>
    <s v="Washington"/>
    <n v="57"/>
    <x v="1"/>
    <x v="4"/>
    <x v="5"/>
    <d v="2026-04-13T15:13:35"/>
  </r>
  <r>
    <n v="1183"/>
    <s v="Patricia"/>
    <s v="Thornton"/>
    <n v="55"/>
    <x v="1"/>
    <x v="6"/>
    <x v="11"/>
    <d v="2026-04-13T15:14:33"/>
  </r>
  <r>
    <n v="1184"/>
    <s v="Daniel"/>
    <s v="Fox"/>
    <n v="19"/>
    <x v="2"/>
    <x v="5"/>
    <x v="2"/>
    <d v="2026-04-13T15:15:03"/>
  </r>
  <r>
    <n v="1185"/>
    <s v="Eric"/>
    <s v="Villanueva"/>
    <n v="30"/>
    <x v="2"/>
    <x v="5"/>
    <x v="14"/>
    <d v="2026-04-13T15:15:25"/>
  </r>
  <r>
    <n v="1186"/>
    <s v="William"/>
    <s v="Andrade"/>
    <n v="65"/>
    <x v="1"/>
    <x v="5"/>
    <x v="6"/>
    <d v="2026-04-13T15:16:07"/>
  </r>
  <r>
    <n v="1187"/>
    <s v="Robert"/>
    <s v="Kelley"/>
    <n v="63"/>
    <x v="1"/>
    <x v="6"/>
    <x v="12"/>
    <d v="2026-04-13T15:17:00"/>
  </r>
  <r>
    <n v="1188"/>
    <s v="Paul"/>
    <s v="Mason"/>
    <n v="64"/>
    <x v="0"/>
    <x v="4"/>
    <x v="18"/>
    <d v="2026-04-13T15:17:35"/>
  </r>
  <r>
    <n v="1189"/>
    <s v="Mike"/>
    <s v="Hill"/>
    <n v="66"/>
    <x v="0"/>
    <x v="5"/>
    <x v="6"/>
    <d v="2026-04-13T15:18:08"/>
  </r>
  <r>
    <n v="1190"/>
    <s v="Timothy"/>
    <s v="Curtis"/>
    <n v="42"/>
    <x v="2"/>
    <x v="1"/>
    <x v="4"/>
    <d v="2026-04-13T15:19:01"/>
  </r>
  <r>
    <n v="1191"/>
    <s v="Paul"/>
    <s v="Horn"/>
    <n v="58"/>
    <x v="1"/>
    <x v="0"/>
    <x v="9"/>
    <d v="2026-04-13T15:19:21"/>
  </r>
  <r>
    <n v="1192"/>
    <s v="Jose"/>
    <s v="Diaz"/>
    <n v="18"/>
    <x v="0"/>
    <x v="0"/>
    <x v="5"/>
    <d v="2026-04-13T15:20:10"/>
  </r>
  <r>
    <n v="1193"/>
    <s v="Michael"/>
    <s v="Chan"/>
    <n v="32"/>
    <x v="1"/>
    <x v="6"/>
    <x v="14"/>
    <d v="2026-04-13T15:20:52"/>
  </r>
  <r>
    <n v="1194"/>
    <s v="Amanda"/>
    <s v="Garcia"/>
    <n v="54"/>
    <x v="0"/>
    <x v="0"/>
    <x v="0"/>
    <d v="2026-04-13T15:21:09"/>
  </r>
  <r>
    <n v="1195"/>
    <s v="Aaron"/>
    <s v="Taylor"/>
    <n v="46"/>
    <x v="2"/>
    <x v="4"/>
    <x v="19"/>
    <d v="2026-04-13T15:21:22"/>
  </r>
  <r>
    <n v="1196"/>
    <s v="Diane"/>
    <s v="Santos"/>
    <n v="35"/>
    <x v="0"/>
    <x v="3"/>
    <x v="11"/>
    <d v="2026-04-13T15:22:18"/>
  </r>
  <r>
    <n v="1197"/>
    <s v="Scott"/>
    <s v="Ray"/>
    <n v="56"/>
    <x v="1"/>
    <x v="3"/>
    <x v="12"/>
    <d v="2026-04-13T15:22:50"/>
  </r>
  <r>
    <n v="1198"/>
    <s v="Lisa"/>
    <s v="Sanders"/>
    <n v="45"/>
    <x v="1"/>
    <x v="2"/>
    <x v="15"/>
    <d v="2026-04-13T15:23:34"/>
  </r>
  <r>
    <n v="1199"/>
    <s v="Jennifer"/>
    <s v="Lucas"/>
    <n v="50"/>
    <x v="1"/>
    <x v="5"/>
    <x v="18"/>
    <d v="2026-04-13T15:24:15"/>
  </r>
  <r>
    <n v="1200"/>
    <s v="David"/>
    <s v="Turner"/>
    <n v="24"/>
    <x v="0"/>
    <x v="5"/>
    <x v="8"/>
    <d v="2026-04-13T15:25:09"/>
  </r>
  <r>
    <n v="1201"/>
    <s v="Joseph"/>
    <s v="Hartman"/>
    <n v="66"/>
    <x v="1"/>
    <x v="6"/>
    <x v="5"/>
    <d v="2026-04-13T15:25:55"/>
  </r>
  <r>
    <n v="1202"/>
    <s v="Carl"/>
    <s v="Mckay"/>
    <n v="57"/>
    <x v="1"/>
    <x v="4"/>
    <x v="6"/>
    <d v="2026-04-13T15:26:25"/>
  </r>
  <r>
    <n v="1203"/>
    <s v="Kelly"/>
    <s v="Nelson"/>
    <n v="38"/>
    <x v="0"/>
    <x v="3"/>
    <x v="15"/>
    <d v="2026-04-13T15:26:44"/>
  </r>
  <r>
    <n v="1204"/>
    <s v="Christina"/>
    <s v="Lopez"/>
    <n v="38"/>
    <x v="2"/>
    <x v="4"/>
    <x v="7"/>
    <d v="2026-04-13T15:27:00"/>
  </r>
  <r>
    <n v="1205"/>
    <s v="Eileen"/>
    <s v="Lynch"/>
    <n v="40"/>
    <x v="0"/>
    <x v="0"/>
    <x v="5"/>
    <d v="2026-04-13T15:27:54"/>
  </r>
  <r>
    <n v="1206"/>
    <s v="Tony"/>
    <s v="Love"/>
    <n v="27"/>
    <x v="2"/>
    <x v="2"/>
    <x v="1"/>
    <d v="2026-04-13T15:28:17"/>
  </r>
  <r>
    <n v="1207"/>
    <s v="Leslie"/>
    <s v="Wang"/>
    <n v="23"/>
    <x v="1"/>
    <x v="5"/>
    <x v="10"/>
    <d v="2026-04-13T15:28:49"/>
  </r>
  <r>
    <n v="1208"/>
    <s v="Zachary"/>
    <s v="Williams"/>
    <n v="69"/>
    <x v="2"/>
    <x v="6"/>
    <x v="19"/>
    <d v="2026-04-16T16:34:49"/>
  </r>
  <r>
    <n v="1209"/>
    <s v="Felicia"/>
    <s v="Stevens"/>
    <n v="49"/>
    <x v="1"/>
    <x v="3"/>
    <x v="10"/>
    <d v="2026-04-16T16:35:16"/>
  </r>
  <r>
    <n v="1210"/>
    <s v="Jessica"/>
    <s v="Casey"/>
    <n v="40"/>
    <x v="2"/>
    <x v="2"/>
    <x v="3"/>
    <d v="2026-04-16T16:35:30"/>
  </r>
  <r>
    <n v="1211"/>
    <s v="James"/>
    <s v="Johnston"/>
    <n v="50"/>
    <x v="1"/>
    <x v="1"/>
    <x v="19"/>
    <d v="2026-04-16T16:35:43"/>
  </r>
  <r>
    <n v="1212"/>
    <s v="David"/>
    <s v="Becker"/>
    <n v="42"/>
    <x v="0"/>
    <x v="3"/>
    <x v="0"/>
    <d v="2026-04-16T16:36:02"/>
  </r>
  <r>
    <n v="1213"/>
    <s v="Karen"/>
    <s v="Hunt"/>
    <n v="61"/>
    <x v="2"/>
    <x v="0"/>
    <x v="4"/>
    <d v="2026-04-16T16:36:17"/>
  </r>
  <r>
    <n v="1214"/>
    <s v="Crystal"/>
    <s v="Hunter"/>
    <n v="59"/>
    <x v="2"/>
    <x v="0"/>
    <x v="13"/>
    <d v="2026-04-16T16:36:35"/>
  </r>
  <r>
    <n v="1215"/>
    <s v="Misty"/>
    <s v="Rodriguez"/>
    <n v="55"/>
    <x v="1"/>
    <x v="6"/>
    <x v="1"/>
    <d v="2026-04-16T16:36:59"/>
  </r>
  <r>
    <n v="1216"/>
    <s v="Tina"/>
    <s v="Wong"/>
    <n v="67"/>
    <x v="1"/>
    <x v="3"/>
    <x v="17"/>
    <d v="2026-04-16T16:37:22"/>
  </r>
  <r>
    <n v="1217"/>
    <s v="David"/>
    <s v="Dorsey"/>
    <n v="67"/>
    <x v="2"/>
    <x v="6"/>
    <x v="17"/>
    <d v="2026-04-16T16:37:46"/>
  </r>
  <r>
    <n v="1218"/>
    <s v="Ronald"/>
    <s v="Munoz"/>
    <n v="46"/>
    <x v="0"/>
    <x v="1"/>
    <x v="13"/>
    <d v="2026-04-16T16:37:59"/>
  </r>
  <r>
    <n v="1219"/>
    <s v="Crystal"/>
    <s v="Tucker"/>
    <n v="39"/>
    <x v="2"/>
    <x v="0"/>
    <x v="17"/>
    <d v="2026-04-16T16:38:14"/>
  </r>
  <r>
    <n v="1220"/>
    <s v="Michael"/>
    <s v="Todd"/>
    <n v="66"/>
    <x v="2"/>
    <x v="2"/>
    <x v="4"/>
    <d v="2026-04-16T16:38:38"/>
  </r>
  <r>
    <n v="1221"/>
    <s v="Mark"/>
    <s v="Hill"/>
    <n v="37"/>
    <x v="1"/>
    <x v="2"/>
    <x v="2"/>
    <d v="2026-04-16T16:38:51"/>
  </r>
  <r>
    <n v="1222"/>
    <s v="Marisa"/>
    <s v="Griffin"/>
    <n v="49"/>
    <x v="2"/>
    <x v="6"/>
    <x v="5"/>
    <d v="2026-04-16T16:39:10"/>
  </r>
  <r>
    <n v="1223"/>
    <s v="Holly"/>
    <s v="Jackson"/>
    <n v="23"/>
    <x v="0"/>
    <x v="3"/>
    <x v="3"/>
    <d v="2026-04-16T16:39:27"/>
  </r>
  <r>
    <n v="1224"/>
    <s v="Misty"/>
    <s v="Lyons"/>
    <n v="44"/>
    <x v="1"/>
    <x v="1"/>
    <x v="2"/>
    <d v="2026-04-16T16:39:56"/>
  </r>
  <r>
    <n v="1225"/>
    <s v="Eugene"/>
    <s v="Vincent"/>
    <n v="23"/>
    <x v="2"/>
    <x v="5"/>
    <x v="12"/>
    <d v="2026-04-16T16:40:22"/>
  </r>
  <r>
    <n v="1226"/>
    <s v="Nicholas"/>
    <s v="Brown"/>
    <n v="54"/>
    <x v="1"/>
    <x v="1"/>
    <x v="16"/>
    <d v="2026-04-16T16:40:33"/>
  </r>
  <r>
    <n v="1227"/>
    <s v="Gloria"/>
    <s v="Warren"/>
    <n v="18"/>
    <x v="0"/>
    <x v="4"/>
    <x v="1"/>
    <d v="2026-04-16T16:40:57"/>
  </r>
  <r>
    <n v="1228"/>
    <s v="Lindsay"/>
    <s v="Sullivan"/>
    <n v="57"/>
    <x v="2"/>
    <x v="1"/>
    <x v="6"/>
    <d v="2026-04-16T16:41:19"/>
  </r>
  <r>
    <n v="1229"/>
    <s v="Kim"/>
    <s v="Bradley"/>
    <n v="70"/>
    <x v="2"/>
    <x v="1"/>
    <x v="2"/>
    <d v="2026-04-16T16:41:48"/>
  </r>
  <r>
    <n v="1230"/>
    <s v="Christina"/>
    <s v="Garcia"/>
    <n v="42"/>
    <x v="2"/>
    <x v="3"/>
    <x v="3"/>
    <d v="2026-04-16T16:42:05"/>
  </r>
  <r>
    <n v="1231"/>
    <s v="Sandy"/>
    <s v="Powell"/>
    <n v="66"/>
    <x v="2"/>
    <x v="1"/>
    <x v="1"/>
    <d v="2026-04-16T16:42:17"/>
  </r>
  <r>
    <n v="1232"/>
    <s v="Bryan"/>
    <s v="Rose"/>
    <n v="49"/>
    <x v="0"/>
    <x v="4"/>
    <x v="5"/>
    <d v="2026-04-16T16:42:31"/>
  </r>
  <r>
    <n v="1233"/>
    <s v="Luke"/>
    <s v="Gardner"/>
    <n v="60"/>
    <x v="1"/>
    <x v="2"/>
    <x v="14"/>
    <d v="2026-04-16T16:42:48"/>
  </r>
  <r>
    <n v="1234"/>
    <s v="Mathew"/>
    <s v="Ross"/>
    <n v="37"/>
    <x v="0"/>
    <x v="0"/>
    <x v="19"/>
    <d v="2026-04-16T16:43:15"/>
  </r>
  <r>
    <n v="1235"/>
    <s v="Jessica"/>
    <s v="Allen"/>
    <n v="65"/>
    <x v="2"/>
    <x v="4"/>
    <x v="15"/>
    <d v="2026-04-16T16:43:35"/>
  </r>
  <r>
    <n v="1236"/>
    <s v="Phillip"/>
    <s v="Frye"/>
    <n v="55"/>
    <x v="0"/>
    <x v="3"/>
    <x v="12"/>
    <d v="2026-04-16T16:43:58"/>
  </r>
  <r>
    <n v="1237"/>
    <s v="Kevin"/>
    <s v="Wood"/>
    <n v="68"/>
    <x v="2"/>
    <x v="5"/>
    <x v="0"/>
    <d v="2026-04-16T16:44:12"/>
  </r>
  <r>
    <n v="1238"/>
    <s v="Alexander"/>
    <s v="Clark"/>
    <n v="40"/>
    <x v="2"/>
    <x v="6"/>
    <x v="10"/>
    <d v="2026-04-16T16:44:27"/>
  </r>
  <r>
    <n v="1239"/>
    <s v="Wendy"/>
    <s v="Cox"/>
    <n v="33"/>
    <x v="2"/>
    <x v="5"/>
    <x v="0"/>
    <d v="2026-04-16T16:44:38"/>
  </r>
  <r>
    <n v="1240"/>
    <s v="David"/>
    <s v="Foster"/>
    <n v="30"/>
    <x v="2"/>
    <x v="5"/>
    <x v="12"/>
    <d v="2026-04-16T16:45:01"/>
  </r>
  <r>
    <n v="1241"/>
    <s v="Vanessa"/>
    <s v="Anderson"/>
    <n v="23"/>
    <x v="1"/>
    <x v="3"/>
    <x v="4"/>
    <d v="2026-04-16T16:45:12"/>
  </r>
  <r>
    <n v="1242"/>
    <s v="Timothy"/>
    <s v="Chavez"/>
    <n v="24"/>
    <x v="1"/>
    <x v="3"/>
    <x v="18"/>
    <d v="2026-04-16T16:45:39"/>
  </r>
  <r>
    <n v="1243"/>
    <s v="Sandra"/>
    <s v="Harmon"/>
    <n v="35"/>
    <x v="1"/>
    <x v="4"/>
    <x v="3"/>
    <d v="2026-04-16T16:46:08"/>
  </r>
  <r>
    <n v="1244"/>
    <s v="Marcia"/>
    <s v="Simpson"/>
    <n v="51"/>
    <x v="2"/>
    <x v="4"/>
    <x v="12"/>
    <d v="2026-04-16T16:46:30"/>
  </r>
  <r>
    <n v="1245"/>
    <s v="Blake"/>
    <s v="Rodriguez"/>
    <n v="57"/>
    <x v="2"/>
    <x v="6"/>
    <x v="15"/>
    <d v="2026-04-16T16:46:59"/>
  </r>
  <r>
    <n v="1246"/>
    <s v="Allison"/>
    <s v="Howard"/>
    <n v="57"/>
    <x v="0"/>
    <x v="0"/>
    <x v="19"/>
    <d v="2026-04-16T16:47:21"/>
  </r>
  <r>
    <n v="1247"/>
    <s v="Thomas"/>
    <s v="Guzman"/>
    <n v="18"/>
    <x v="1"/>
    <x v="3"/>
    <x v="11"/>
    <d v="2026-04-16T16:47:42"/>
  </r>
  <r>
    <n v="1248"/>
    <s v="Heather"/>
    <s v="Gonzales"/>
    <n v="55"/>
    <x v="1"/>
    <x v="4"/>
    <x v="13"/>
    <d v="2026-04-16T16:48:07"/>
  </r>
  <r>
    <n v="1249"/>
    <s v="Thomas"/>
    <s v="Sanchez"/>
    <n v="64"/>
    <x v="0"/>
    <x v="3"/>
    <x v="13"/>
    <d v="2026-04-16T16:48:35"/>
  </r>
  <r>
    <n v="1250"/>
    <s v="Kyle"/>
    <s v="Stanley"/>
    <n v="38"/>
    <x v="1"/>
    <x v="6"/>
    <x v="9"/>
    <d v="2026-04-16T16:49:00"/>
  </r>
  <r>
    <n v="1251"/>
    <s v="Elizabeth"/>
    <s v="Warner"/>
    <n v="26"/>
    <x v="2"/>
    <x v="3"/>
    <x v="10"/>
    <d v="2026-04-16T16:49:12"/>
  </r>
  <r>
    <n v="1252"/>
    <s v="Renee"/>
    <s v="King"/>
    <n v="24"/>
    <x v="2"/>
    <x v="1"/>
    <x v="11"/>
    <d v="2026-04-16T16:49:37"/>
  </r>
  <r>
    <n v="1253"/>
    <s v="Andrew"/>
    <s v="Williams"/>
    <n v="58"/>
    <x v="0"/>
    <x v="6"/>
    <x v="13"/>
    <d v="2026-04-16T16:49:57"/>
  </r>
  <r>
    <n v="1254"/>
    <s v="Jennifer"/>
    <s v="Cook"/>
    <n v="43"/>
    <x v="1"/>
    <x v="4"/>
    <x v="19"/>
    <d v="2026-04-16T16:50:21"/>
  </r>
  <r>
    <n v="1255"/>
    <s v="Benjamin"/>
    <s v="Massey"/>
    <n v="36"/>
    <x v="2"/>
    <x v="2"/>
    <x v="19"/>
    <d v="2026-04-16T16:50:40"/>
  </r>
  <r>
    <n v="1256"/>
    <s v="Juan"/>
    <s v="Ross"/>
    <n v="50"/>
    <x v="2"/>
    <x v="5"/>
    <x v="14"/>
    <d v="2026-04-16T16:51:06"/>
  </r>
  <r>
    <n v="1257"/>
    <s v="Michael"/>
    <s v="Patrick"/>
    <n v="32"/>
    <x v="1"/>
    <x v="4"/>
    <x v="4"/>
    <d v="2026-04-16T16:51:33"/>
  </r>
  <r>
    <n v="1258"/>
    <s v="David"/>
    <s v="Conner"/>
    <n v="62"/>
    <x v="1"/>
    <x v="5"/>
    <x v="5"/>
    <d v="2026-04-16T16:51:53"/>
  </r>
  <r>
    <n v="1259"/>
    <s v="Mark"/>
    <s v="Gardner"/>
    <n v="28"/>
    <x v="0"/>
    <x v="3"/>
    <x v="17"/>
    <d v="2026-04-16T16:52:21"/>
  </r>
  <r>
    <n v="1260"/>
    <s v="Robert"/>
    <s v="Livingston"/>
    <n v="38"/>
    <x v="1"/>
    <x v="3"/>
    <x v="1"/>
    <d v="2026-04-16T16:52:37"/>
  </r>
  <r>
    <n v="1261"/>
    <s v="Jesse"/>
    <s v="Spencer"/>
    <n v="54"/>
    <x v="0"/>
    <x v="0"/>
    <x v="12"/>
    <d v="2026-04-16T16:53:05"/>
  </r>
  <r>
    <n v="1262"/>
    <s v="Rachel"/>
    <s v="Rollins"/>
    <n v="26"/>
    <x v="0"/>
    <x v="5"/>
    <x v="12"/>
    <d v="2026-04-16T16:53:24"/>
  </r>
  <r>
    <n v="1263"/>
    <s v="Mark"/>
    <s v="Blackwell"/>
    <n v="26"/>
    <x v="1"/>
    <x v="5"/>
    <x v="1"/>
    <d v="2026-04-16T16:53:43"/>
  </r>
  <r>
    <n v="1264"/>
    <s v="Ruben"/>
    <s v="Johnson"/>
    <n v="21"/>
    <x v="2"/>
    <x v="5"/>
    <x v="11"/>
    <d v="2026-04-16T16:53:55"/>
  </r>
  <r>
    <n v="1265"/>
    <s v="Timothy"/>
    <s v="Chung"/>
    <n v="31"/>
    <x v="2"/>
    <x v="6"/>
    <x v="14"/>
    <d v="2026-04-16T16:54:07"/>
  </r>
  <r>
    <n v="1266"/>
    <s v="Brian"/>
    <s v="Lambert"/>
    <n v="32"/>
    <x v="2"/>
    <x v="4"/>
    <x v="14"/>
    <d v="2026-04-16T16:54:32"/>
  </r>
  <r>
    <n v="1267"/>
    <s v="Wendy"/>
    <s v="Sullivan"/>
    <n v="50"/>
    <x v="1"/>
    <x v="6"/>
    <x v="17"/>
    <d v="2026-04-16T16:54:54"/>
  </r>
  <r>
    <n v="1268"/>
    <s v="Linda"/>
    <s v="Lopez"/>
    <n v="53"/>
    <x v="0"/>
    <x v="6"/>
    <x v="18"/>
    <d v="2026-04-16T16:55:04"/>
  </r>
  <r>
    <n v="1269"/>
    <s v="Donald"/>
    <s v="Price"/>
    <n v="19"/>
    <x v="0"/>
    <x v="0"/>
    <x v="0"/>
    <d v="2026-04-16T16:55:20"/>
  </r>
  <r>
    <n v="1270"/>
    <s v="Norma"/>
    <s v="Brown"/>
    <n v="43"/>
    <x v="2"/>
    <x v="2"/>
    <x v="1"/>
    <d v="2026-04-16T16:55:35"/>
  </r>
  <r>
    <n v="1271"/>
    <s v="Linda"/>
    <s v="Smith"/>
    <n v="65"/>
    <x v="1"/>
    <x v="2"/>
    <x v="5"/>
    <d v="2026-04-16T16:55:49"/>
  </r>
  <r>
    <n v="1272"/>
    <s v="Daniel"/>
    <s v="Rodriguez"/>
    <n v="25"/>
    <x v="0"/>
    <x v="1"/>
    <x v="5"/>
    <d v="2026-04-16T16:56:17"/>
  </r>
  <r>
    <n v="1273"/>
    <s v="Kevin"/>
    <s v="Soto"/>
    <n v="69"/>
    <x v="2"/>
    <x v="1"/>
    <x v="17"/>
    <d v="2026-04-16T16:56:43"/>
  </r>
  <r>
    <n v="1274"/>
    <s v="Monica"/>
    <s v="Holmes"/>
    <n v="39"/>
    <x v="2"/>
    <x v="3"/>
    <x v="13"/>
    <d v="2026-04-16T16:56:58"/>
  </r>
  <r>
    <n v="1275"/>
    <s v="Jesse"/>
    <s v="Booker"/>
    <n v="69"/>
    <x v="0"/>
    <x v="5"/>
    <x v="15"/>
    <d v="2026-04-16T16:57:09"/>
  </r>
  <r>
    <n v="1276"/>
    <s v="Alicia"/>
    <s v="Pope"/>
    <n v="48"/>
    <x v="1"/>
    <x v="4"/>
    <x v="0"/>
    <d v="2026-04-16T16:57:21"/>
  </r>
  <r>
    <n v="1277"/>
    <s v="Daniel"/>
    <s v="White"/>
    <n v="28"/>
    <x v="0"/>
    <x v="4"/>
    <x v="19"/>
    <d v="2026-04-16T16:57:31"/>
  </r>
  <r>
    <n v="1278"/>
    <s v="Michelle"/>
    <s v="Jackson"/>
    <n v="22"/>
    <x v="2"/>
    <x v="1"/>
    <x v="11"/>
    <d v="2026-04-16T16:57:46"/>
  </r>
  <r>
    <n v="1279"/>
    <s v="Candace"/>
    <s v="Murphy"/>
    <n v="18"/>
    <x v="0"/>
    <x v="5"/>
    <x v="3"/>
    <d v="2026-04-16T16:58:05"/>
  </r>
  <r>
    <n v="1280"/>
    <s v="Brittany"/>
    <s v="Garza"/>
    <n v="48"/>
    <x v="2"/>
    <x v="3"/>
    <x v="11"/>
    <d v="2026-04-16T16:58:16"/>
  </r>
  <r>
    <n v="1281"/>
    <s v="Wendy"/>
    <s v="Carey"/>
    <n v="52"/>
    <x v="2"/>
    <x v="4"/>
    <x v="6"/>
    <d v="2026-04-16T16:58:27"/>
  </r>
  <r>
    <n v="1282"/>
    <s v="Samantha"/>
    <s v="Short"/>
    <n v="20"/>
    <x v="1"/>
    <x v="1"/>
    <x v="19"/>
    <d v="2026-04-16T16:58:56"/>
  </r>
  <r>
    <n v="1283"/>
    <s v="Mandy"/>
    <s v="Rollins"/>
    <n v="31"/>
    <x v="1"/>
    <x v="4"/>
    <x v="7"/>
    <d v="2026-04-16T16:59:25"/>
  </r>
  <r>
    <n v="1284"/>
    <s v="Rebecca"/>
    <s v="Palmer"/>
    <n v="18"/>
    <x v="0"/>
    <x v="0"/>
    <x v="3"/>
    <d v="2026-04-16T16:59:52"/>
  </r>
  <r>
    <n v="1285"/>
    <s v="Jo"/>
    <s v="Watson"/>
    <n v="50"/>
    <x v="0"/>
    <x v="1"/>
    <x v="16"/>
    <d v="2026-04-16T17:00:10"/>
  </r>
  <r>
    <n v="1286"/>
    <s v="Noah"/>
    <s v="Sanchez"/>
    <n v="44"/>
    <x v="2"/>
    <x v="5"/>
    <x v="4"/>
    <d v="2026-04-16T17:00:33"/>
  </r>
  <r>
    <n v="1287"/>
    <s v="Tanner"/>
    <s v="Riley"/>
    <n v="34"/>
    <x v="2"/>
    <x v="5"/>
    <x v="9"/>
    <d v="2026-04-16T17:00:48"/>
  </r>
  <r>
    <n v="1288"/>
    <s v="Guy"/>
    <s v="Houston"/>
    <n v="64"/>
    <x v="2"/>
    <x v="6"/>
    <x v="8"/>
    <d v="2026-04-16T17:01:02"/>
  </r>
  <r>
    <n v="1289"/>
    <s v="Vanessa"/>
    <s v="Chen"/>
    <n v="41"/>
    <x v="2"/>
    <x v="3"/>
    <x v="5"/>
    <d v="2026-04-16T17:01:17"/>
  </r>
  <r>
    <n v="1290"/>
    <s v="Vincent"/>
    <s v="Moore"/>
    <n v="31"/>
    <x v="0"/>
    <x v="5"/>
    <x v="1"/>
    <d v="2026-04-16T17:01:28"/>
  </r>
  <r>
    <n v="1291"/>
    <s v="Judith"/>
    <s v="Richardson"/>
    <n v="59"/>
    <x v="1"/>
    <x v="5"/>
    <x v="8"/>
    <d v="2026-04-16T17:01:42"/>
  </r>
  <r>
    <n v="1292"/>
    <s v="Jacqueline"/>
    <s v="George"/>
    <n v="34"/>
    <x v="1"/>
    <x v="0"/>
    <x v="2"/>
    <d v="2026-04-16T17:01:59"/>
  </r>
  <r>
    <n v="1293"/>
    <s v="Michelle"/>
    <s v="Zuniga"/>
    <n v="66"/>
    <x v="1"/>
    <x v="3"/>
    <x v="4"/>
    <d v="2026-04-16T17:02:15"/>
  </r>
  <r>
    <n v="1294"/>
    <s v="Yvonne"/>
    <s v="Lin"/>
    <n v="29"/>
    <x v="1"/>
    <x v="0"/>
    <x v="0"/>
    <d v="2026-04-16T17:02:36"/>
  </r>
  <r>
    <n v="1295"/>
    <s v="Sarah"/>
    <s v="Williams"/>
    <n v="53"/>
    <x v="1"/>
    <x v="4"/>
    <x v="0"/>
    <d v="2026-04-16T17:03:05"/>
  </r>
  <r>
    <n v="1296"/>
    <s v="Aimee"/>
    <s v="Roberson"/>
    <n v="38"/>
    <x v="2"/>
    <x v="3"/>
    <x v="19"/>
    <d v="2026-04-16T17:03:17"/>
  </r>
  <r>
    <n v="1297"/>
    <s v="David"/>
    <s v="Marsh"/>
    <n v="44"/>
    <x v="2"/>
    <x v="4"/>
    <x v="14"/>
    <d v="2026-04-16T17:03:40"/>
  </r>
  <r>
    <n v="1298"/>
    <s v="Michael"/>
    <s v="Christian"/>
    <n v="41"/>
    <x v="0"/>
    <x v="3"/>
    <x v="17"/>
    <d v="2026-04-16T17:03:58"/>
  </r>
  <r>
    <n v="1299"/>
    <s v="Rachel"/>
    <s v="Wilson"/>
    <n v="32"/>
    <x v="1"/>
    <x v="6"/>
    <x v="0"/>
    <d v="2026-04-16T17:04:12"/>
  </r>
  <r>
    <n v="1300"/>
    <s v="Kenneth"/>
    <s v="Miller"/>
    <n v="60"/>
    <x v="2"/>
    <x v="3"/>
    <x v="14"/>
    <d v="2026-04-16T17:04:25"/>
  </r>
  <r>
    <n v="1301"/>
    <s v="Anne"/>
    <s v="Evans"/>
    <n v="59"/>
    <x v="2"/>
    <x v="3"/>
    <x v="0"/>
    <d v="2026-04-16T17:04:38"/>
  </r>
  <r>
    <n v="1302"/>
    <s v="Diana"/>
    <s v="Nicholson"/>
    <n v="61"/>
    <x v="2"/>
    <x v="5"/>
    <x v="19"/>
    <d v="2026-04-16T17:05:05"/>
  </r>
  <r>
    <n v="1303"/>
    <s v="Travis"/>
    <s v="Hughes"/>
    <n v="47"/>
    <x v="0"/>
    <x v="4"/>
    <x v="5"/>
    <d v="2026-04-16T17:05:24"/>
  </r>
  <r>
    <n v="1304"/>
    <s v="Sarah"/>
    <s v="Gomez"/>
    <n v="44"/>
    <x v="2"/>
    <x v="0"/>
    <x v="7"/>
    <d v="2026-04-16T17:05:51"/>
  </r>
  <r>
    <n v="1305"/>
    <s v="Amanda"/>
    <s v="Townsend"/>
    <n v="41"/>
    <x v="2"/>
    <x v="6"/>
    <x v="2"/>
    <d v="2026-04-16T17:06:08"/>
  </r>
  <r>
    <n v="1306"/>
    <s v="Latasha"/>
    <s v="Rodriguez"/>
    <n v="44"/>
    <x v="0"/>
    <x v="2"/>
    <x v="14"/>
    <d v="2026-04-16T17:06:28"/>
  </r>
  <r>
    <n v="1307"/>
    <s v="Kendra"/>
    <s v="Holmes"/>
    <n v="55"/>
    <x v="2"/>
    <x v="3"/>
    <x v="0"/>
    <d v="2026-04-16T17:06:43"/>
  </r>
  <r>
    <n v="1308"/>
    <s v="Christopher"/>
    <s v="Davenport"/>
    <n v="49"/>
    <x v="2"/>
    <x v="0"/>
    <x v="1"/>
    <d v="2026-07-05T11:07:22"/>
  </r>
  <r>
    <n v="1309"/>
    <s v="Daniel"/>
    <s v="Jimenez"/>
    <n v="30"/>
    <x v="0"/>
    <x v="4"/>
    <x v="2"/>
    <d v="2026-07-05T11:07:43"/>
  </r>
  <r>
    <n v="1310"/>
    <s v="Rebekah"/>
    <s v="Gardner"/>
    <n v="23"/>
    <x v="2"/>
    <x v="1"/>
    <x v="17"/>
    <d v="2026-07-05T11:07:59"/>
  </r>
  <r>
    <n v="1311"/>
    <s v="Amanda"/>
    <s v="Fields"/>
    <n v="62"/>
    <x v="1"/>
    <x v="2"/>
    <x v="3"/>
    <d v="2026-07-05T11:08:29"/>
  </r>
  <r>
    <n v="1312"/>
    <s v="Ryan"/>
    <s v="Maxwell"/>
    <n v="52"/>
    <x v="2"/>
    <x v="3"/>
    <x v="18"/>
    <d v="2026-07-05T11:08:44"/>
  </r>
  <r>
    <n v="1313"/>
    <s v="Barbara"/>
    <s v="Howard"/>
    <n v="52"/>
    <x v="2"/>
    <x v="3"/>
    <x v="5"/>
    <d v="2026-07-05T11:09:05"/>
  </r>
  <r>
    <n v="1314"/>
    <s v="Joseph"/>
    <s v="Rice"/>
    <n v="36"/>
    <x v="1"/>
    <x v="2"/>
    <x v="18"/>
    <d v="2026-07-05T11:09:26"/>
  </r>
  <r>
    <n v="1315"/>
    <s v="Melissa"/>
    <s v="Reyes"/>
    <n v="41"/>
    <x v="2"/>
    <x v="3"/>
    <x v="16"/>
    <d v="2026-07-05T11:09:39"/>
  </r>
  <r>
    <n v="1316"/>
    <s v="Robert"/>
    <s v="Sullivan"/>
    <n v="52"/>
    <x v="0"/>
    <x v="3"/>
    <x v="17"/>
    <d v="2026-07-05T11:09:59"/>
  </r>
  <r>
    <n v="1317"/>
    <s v="Carolyn"/>
    <s v="Ellison"/>
    <n v="70"/>
    <x v="1"/>
    <x v="2"/>
    <x v="2"/>
    <d v="2026-07-05T11:10:27"/>
  </r>
  <r>
    <n v="1318"/>
    <s v="Michael"/>
    <s v="Johnson"/>
    <n v="36"/>
    <x v="1"/>
    <x v="2"/>
    <x v="9"/>
    <d v="2026-07-05T11:10:38"/>
  </r>
  <r>
    <n v="1319"/>
    <s v="Ashley"/>
    <s v="Brown"/>
    <n v="65"/>
    <x v="0"/>
    <x v="4"/>
    <x v="8"/>
    <d v="2026-07-05T11:10:56"/>
  </r>
  <r>
    <n v="1320"/>
    <s v="Robert"/>
    <s v="Nguyen"/>
    <n v="61"/>
    <x v="2"/>
    <x v="5"/>
    <x v="19"/>
    <d v="2026-07-05T11:11:07"/>
  </r>
  <r>
    <n v="1321"/>
    <s v="Joseph"/>
    <s v="Dennis"/>
    <n v="46"/>
    <x v="1"/>
    <x v="5"/>
    <x v="14"/>
    <d v="2026-07-05T11:11:36"/>
  </r>
  <r>
    <n v="1322"/>
    <s v="Jessica"/>
    <s v="Carroll"/>
    <n v="58"/>
    <x v="2"/>
    <x v="6"/>
    <x v="9"/>
    <d v="2026-07-05T11:11:50"/>
  </r>
  <r>
    <n v="1323"/>
    <s v="Stephanie"/>
    <s v="Stevens"/>
    <n v="35"/>
    <x v="0"/>
    <x v="3"/>
    <x v="19"/>
    <d v="2026-07-05T11:12:12"/>
  </r>
  <r>
    <n v="1324"/>
    <s v="Nicole"/>
    <s v="Sanders"/>
    <n v="67"/>
    <x v="1"/>
    <x v="4"/>
    <x v="18"/>
    <d v="2026-07-05T11:12:23"/>
  </r>
  <r>
    <n v="1325"/>
    <s v="Charles"/>
    <s v="Rodriguez"/>
    <n v="61"/>
    <x v="1"/>
    <x v="2"/>
    <x v="13"/>
    <d v="2026-07-05T11:12:42"/>
  </r>
  <r>
    <n v="1326"/>
    <s v="Sheila"/>
    <s v="Scott"/>
    <n v="39"/>
    <x v="0"/>
    <x v="3"/>
    <x v="13"/>
    <d v="2026-07-05T11:13:06"/>
  </r>
  <r>
    <n v="1327"/>
    <s v="Antonio"/>
    <s v="Ramirez"/>
    <n v="55"/>
    <x v="2"/>
    <x v="0"/>
    <x v="1"/>
    <d v="2026-07-05T11:13:33"/>
  </r>
  <r>
    <n v="1328"/>
    <s v="Ricardo"/>
    <s v="Jordan"/>
    <n v="31"/>
    <x v="0"/>
    <x v="5"/>
    <x v="3"/>
    <d v="2026-07-05T11:13:46"/>
  </r>
  <r>
    <n v="1329"/>
    <s v="Samuel"/>
    <s v="Cowan"/>
    <n v="33"/>
    <x v="2"/>
    <x v="0"/>
    <x v="7"/>
    <d v="2026-07-05T11:14:00"/>
  </r>
  <r>
    <n v="1330"/>
    <s v="Steven"/>
    <s v="King"/>
    <n v="20"/>
    <x v="1"/>
    <x v="1"/>
    <x v="3"/>
    <d v="2026-07-05T11:14:23"/>
  </r>
  <r>
    <n v="1331"/>
    <s v="Carlos"/>
    <s v="Lawson"/>
    <n v="58"/>
    <x v="2"/>
    <x v="3"/>
    <x v="9"/>
    <d v="2026-07-05T11:14:41"/>
  </r>
  <r>
    <n v="1332"/>
    <s v="Robert"/>
    <s v="Johnson"/>
    <n v="65"/>
    <x v="1"/>
    <x v="6"/>
    <x v="16"/>
    <d v="2026-07-05T11:14:58"/>
  </r>
  <r>
    <n v="1333"/>
    <s v="Jacqueline"/>
    <s v="Harmon"/>
    <n v="18"/>
    <x v="2"/>
    <x v="4"/>
    <x v="17"/>
    <d v="2026-07-05T11:15:14"/>
  </r>
  <r>
    <n v="1334"/>
    <s v="Jodi"/>
    <s v="Johnson"/>
    <n v="37"/>
    <x v="0"/>
    <x v="2"/>
    <x v="16"/>
    <d v="2026-07-05T11:15:42"/>
  </r>
  <r>
    <n v="1335"/>
    <s v="Lance"/>
    <s v="Stafford"/>
    <n v="20"/>
    <x v="2"/>
    <x v="2"/>
    <x v="17"/>
    <d v="2026-07-05T11:16:06"/>
  </r>
  <r>
    <n v="1336"/>
    <s v="Deborah"/>
    <s v="Odonnell"/>
    <n v="68"/>
    <x v="0"/>
    <x v="1"/>
    <x v="2"/>
    <d v="2026-07-05T11:16:36"/>
  </r>
  <r>
    <n v="1337"/>
    <s v="Jennifer"/>
    <s v="Anderson"/>
    <n v="18"/>
    <x v="2"/>
    <x v="0"/>
    <x v="6"/>
    <d v="2026-07-05T11:16:48"/>
  </r>
  <r>
    <n v="1338"/>
    <s v="Mark"/>
    <s v="Cox"/>
    <n v="49"/>
    <x v="1"/>
    <x v="2"/>
    <x v="0"/>
    <d v="2026-07-05T11:17:17"/>
  </r>
  <r>
    <n v="1339"/>
    <s v="Jason"/>
    <s v="Adams"/>
    <n v="61"/>
    <x v="2"/>
    <x v="3"/>
    <x v="8"/>
    <d v="2026-07-05T11:17:42"/>
  </r>
  <r>
    <n v="1340"/>
    <s v="Darryl"/>
    <s v="Strickland"/>
    <n v="68"/>
    <x v="2"/>
    <x v="5"/>
    <x v="10"/>
    <d v="2026-07-05T11:18:05"/>
  </r>
  <r>
    <n v="1341"/>
    <s v="Rodney"/>
    <s v="Livingston"/>
    <n v="64"/>
    <x v="1"/>
    <x v="0"/>
    <x v="7"/>
    <d v="2026-07-05T11:18:34"/>
  </r>
  <r>
    <n v="1342"/>
    <s v="Samantha"/>
    <s v="Brown"/>
    <n v="50"/>
    <x v="1"/>
    <x v="5"/>
    <x v="7"/>
    <d v="2026-07-05T11:18:58"/>
  </r>
  <r>
    <n v="1343"/>
    <s v="Gregory"/>
    <s v="Robinson"/>
    <n v="39"/>
    <x v="1"/>
    <x v="1"/>
    <x v="19"/>
    <d v="2026-07-05T11:19:16"/>
  </r>
  <r>
    <n v="1344"/>
    <s v="Ryan"/>
    <s v="Gonzalez"/>
    <n v="53"/>
    <x v="0"/>
    <x v="1"/>
    <x v="10"/>
    <d v="2026-07-05T11:19:30"/>
  </r>
  <r>
    <n v="1345"/>
    <s v="Michael"/>
    <s v="Walker"/>
    <n v="45"/>
    <x v="1"/>
    <x v="4"/>
    <x v="5"/>
    <d v="2026-07-05T11:19:42"/>
  </r>
  <r>
    <n v="1346"/>
    <s v="David"/>
    <s v="Wagner"/>
    <n v="25"/>
    <x v="0"/>
    <x v="3"/>
    <x v="13"/>
    <d v="2026-07-05T11:19:55"/>
  </r>
  <r>
    <n v="1347"/>
    <s v="Christopher"/>
    <s v="Bailey"/>
    <n v="33"/>
    <x v="1"/>
    <x v="2"/>
    <x v="11"/>
    <d v="2026-07-05T11:20:22"/>
  </r>
  <r>
    <n v="1348"/>
    <s v="John"/>
    <s v="Luna"/>
    <n v="66"/>
    <x v="1"/>
    <x v="5"/>
    <x v="14"/>
    <d v="2026-07-05T11:20:48"/>
  </r>
  <r>
    <n v="1349"/>
    <s v="Blake"/>
    <s v="Hart"/>
    <n v="55"/>
    <x v="0"/>
    <x v="4"/>
    <x v="3"/>
    <d v="2026-07-05T11:21:13"/>
  </r>
  <r>
    <n v="1350"/>
    <s v="Jacqueline"/>
    <s v="Tran"/>
    <n v="47"/>
    <x v="1"/>
    <x v="4"/>
    <x v="12"/>
    <d v="2026-07-05T11:21:35"/>
  </r>
  <r>
    <n v="1351"/>
    <s v="Kevin"/>
    <s v="Vaughan"/>
    <n v="29"/>
    <x v="2"/>
    <x v="2"/>
    <x v="7"/>
    <d v="2026-07-05T11:22:02"/>
  </r>
  <r>
    <n v="1352"/>
    <s v="Jason"/>
    <s v="Atkinson"/>
    <n v="20"/>
    <x v="2"/>
    <x v="4"/>
    <x v="0"/>
    <d v="2026-07-05T11:22:27"/>
  </r>
  <r>
    <n v="1353"/>
    <s v="Adam"/>
    <s v="Mcdonald"/>
    <n v="20"/>
    <x v="2"/>
    <x v="4"/>
    <x v="6"/>
    <d v="2026-07-05T11:22:49"/>
  </r>
  <r>
    <n v="1354"/>
    <s v="Audrey"/>
    <s v="Cummings"/>
    <n v="25"/>
    <x v="0"/>
    <x v="5"/>
    <x v="2"/>
    <d v="2026-07-05T11:23:04"/>
  </r>
  <r>
    <n v="1355"/>
    <s v="Nicole"/>
    <s v="Franklin"/>
    <n v="32"/>
    <x v="2"/>
    <x v="0"/>
    <x v="15"/>
    <d v="2026-07-05T11:23:30"/>
  </r>
  <r>
    <n v="1356"/>
    <s v="David"/>
    <s v="Hicks"/>
    <n v="58"/>
    <x v="1"/>
    <x v="3"/>
    <x v="16"/>
    <d v="2026-07-05T11:23:55"/>
  </r>
  <r>
    <n v="1357"/>
    <s v="Lori"/>
    <s v="Aguirre"/>
    <n v="59"/>
    <x v="0"/>
    <x v="4"/>
    <x v="1"/>
    <d v="2026-07-05T11:24:21"/>
  </r>
  <r>
    <n v="1358"/>
    <s v="Gregory"/>
    <s v="King"/>
    <n v="52"/>
    <x v="1"/>
    <x v="6"/>
    <x v="3"/>
    <d v="2026-07-05T11:24:31"/>
  </r>
  <r>
    <n v="1359"/>
    <s v="Christopher"/>
    <s v="Chen"/>
    <n v="23"/>
    <x v="1"/>
    <x v="4"/>
    <x v="6"/>
    <d v="2026-07-05T11:24:54"/>
  </r>
  <r>
    <n v="1360"/>
    <s v="Joshua"/>
    <s v="Thomas"/>
    <n v="60"/>
    <x v="1"/>
    <x v="5"/>
    <x v="16"/>
    <d v="2026-07-05T11:25:19"/>
  </r>
  <r>
    <n v="1361"/>
    <s v="Tiffany"/>
    <s v="Coleman"/>
    <n v="69"/>
    <x v="0"/>
    <x v="1"/>
    <x v="13"/>
    <d v="2026-07-05T11:25:35"/>
  </r>
  <r>
    <n v="1362"/>
    <s v="Crystal"/>
    <s v="Castro"/>
    <n v="59"/>
    <x v="2"/>
    <x v="0"/>
    <x v="2"/>
    <d v="2026-07-05T11:25:54"/>
  </r>
  <r>
    <n v="1363"/>
    <s v="Nicole"/>
    <s v="Mckenzie"/>
    <n v="58"/>
    <x v="1"/>
    <x v="3"/>
    <x v="8"/>
    <d v="2026-07-05T11:26:15"/>
  </r>
  <r>
    <n v="1364"/>
    <s v="Brenda"/>
    <s v="Hill"/>
    <n v="36"/>
    <x v="2"/>
    <x v="3"/>
    <x v="0"/>
    <d v="2026-07-05T11:26:31"/>
  </r>
  <r>
    <n v="1365"/>
    <s v="Debbie"/>
    <s v="Clark"/>
    <n v="28"/>
    <x v="1"/>
    <x v="5"/>
    <x v="4"/>
    <d v="2026-07-05T11:26:48"/>
  </r>
  <r>
    <n v="1366"/>
    <s v="Tammie"/>
    <s v="Malone"/>
    <n v="65"/>
    <x v="1"/>
    <x v="6"/>
    <x v="4"/>
    <d v="2026-07-05T11:27:08"/>
  </r>
  <r>
    <n v="1367"/>
    <s v="Chad"/>
    <s v="Williams"/>
    <n v="27"/>
    <x v="2"/>
    <x v="3"/>
    <x v="8"/>
    <d v="2026-07-05T11:27:22"/>
  </r>
  <r>
    <n v="1368"/>
    <s v="Daniel"/>
    <s v="Lee"/>
    <n v="54"/>
    <x v="1"/>
    <x v="2"/>
    <x v="18"/>
    <d v="2026-07-05T11:27:52"/>
  </r>
  <r>
    <n v="1369"/>
    <s v="Alyssa"/>
    <s v="Gamble"/>
    <n v="40"/>
    <x v="1"/>
    <x v="0"/>
    <x v="19"/>
    <d v="2026-07-05T11:28:02"/>
  </r>
  <r>
    <n v="1370"/>
    <s v="William"/>
    <s v="Davis"/>
    <n v="53"/>
    <x v="1"/>
    <x v="3"/>
    <x v="14"/>
    <d v="2026-07-05T11:28:21"/>
  </r>
  <r>
    <n v="1371"/>
    <s v="Alex"/>
    <s v="Harvey"/>
    <n v="66"/>
    <x v="2"/>
    <x v="2"/>
    <x v="8"/>
    <d v="2026-07-05T11:28:33"/>
  </r>
  <r>
    <n v="1372"/>
    <s v="Kenneth"/>
    <s v="Johnson"/>
    <n v="29"/>
    <x v="2"/>
    <x v="4"/>
    <x v="5"/>
    <d v="2026-07-05T11:28:49"/>
  </r>
  <r>
    <n v="1373"/>
    <s v="Alexis"/>
    <s v="Nelson"/>
    <n v="65"/>
    <x v="2"/>
    <x v="5"/>
    <x v="3"/>
    <d v="2026-07-05T11:29:05"/>
  </r>
  <r>
    <n v="1374"/>
    <s v="Megan"/>
    <s v="Wilson"/>
    <n v="51"/>
    <x v="0"/>
    <x v="0"/>
    <x v="13"/>
    <d v="2026-07-05T11:29:31"/>
  </r>
  <r>
    <n v="1375"/>
    <s v="Robert"/>
    <s v="Roberson"/>
    <n v="23"/>
    <x v="0"/>
    <x v="4"/>
    <x v="3"/>
    <d v="2026-07-05T11:29:43"/>
  </r>
  <r>
    <n v="1376"/>
    <s v="Adrienne"/>
    <s v="Davis"/>
    <n v="21"/>
    <x v="1"/>
    <x v="6"/>
    <x v="1"/>
    <d v="2026-07-05T11:30:10"/>
  </r>
  <r>
    <n v="1377"/>
    <s v="Carol"/>
    <s v="Johnson"/>
    <n v="47"/>
    <x v="0"/>
    <x v="0"/>
    <x v="17"/>
    <d v="2026-07-05T11:30:23"/>
  </r>
  <r>
    <n v="1378"/>
    <s v="Gabrielle"/>
    <s v="Wilson"/>
    <n v="42"/>
    <x v="2"/>
    <x v="0"/>
    <x v="5"/>
    <d v="2026-07-05T11:30:43"/>
  </r>
  <r>
    <n v="1379"/>
    <s v="Joseph"/>
    <s v="Baker"/>
    <n v="52"/>
    <x v="2"/>
    <x v="6"/>
    <x v="16"/>
    <d v="2026-07-05T11:31:13"/>
  </r>
  <r>
    <n v="1380"/>
    <s v="Tiffany"/>
    <s v="White"/>
    <n v="67"/>
    <x v="0"/>
    <x v="3"/>
    <x v="0"/>
    <d v="2026-07-05T11:31:28"/>
  </r>
  <r>
    <n v="1381"/>
    <s v="Ashley"/>
    <s v="Kramer"/>
    <n v="37"/>
    <x v="0"/>
    <x v="3"/>
    <x v="0"/>
    <d v="2026-07-05T11:31:45"/>
  </r>
  <r>
    <n v="1382"/>
    <s v="James"/>
    <s v="Robinson"/>
    <n v="52"/>
    <x v="1"/>
    <x v="6"/>
    <x v="1"/>
    <d v="2026-07-05T11:32:05"/>
  </r>
  <r>
    <n v="1383"/>
    <s v="Sheri"/>
    <s v="Johnson"/>
    <n v="46"/>
    <x v="1"/>
    <x v="3"/>
    <x v="6"/>
    <d v="2026-07-05T11:32:34"/>
  </r>
  <r>
    <n v="1384"/>
    <s v="Daniel"/>
    <s v="Casey"/>
    <n v="61"/>
    <x v="1"/>
    <x v="4"/>
    <x v="10"/>
    <d v="2026-07-05T11:32:59"/>
  </r>
  <r>
    <n v="1385"/>
    <s v="Kathryn"/>
    <s v="Pitts"/>
    <n v="64"/>
    <x v="1"/>
    <x v="0"/>
    <x v="0"/>
    <d v="2026-07-05T11:33:29"/>
  </r>
  <r>
    <n v="1386"/>
    <s v="Oscar"/>
    <s v="Collins"/>
    <n v="32"/>
    <x v="0"/>
    <x v="3"/>
    <x v="7"/>
    <d v="2026-07-05T11:33:51"/>
  </r>
  <r>
    <n v="1387"/>
    <s v="Laura"/>
    <s v="Peterson"/>
    <n v="54"/>
    <x v="2"/>
    <x v="4"/>
    <x v="5"/>
    <d v="2026-07-05T11:34:10"/>
  </r>
  <r>
    <n v="1388"/>
    <s v="Elizabeth"/>
    <s v="Simmons"/>
    <n v="57"/>
    <x v="1"/>
    <x v="5"/>
    <x v="3"/>
    <d v="2026-07-05T11:34:22"/>
  </r>
  <r>
    <n v="1389"/>
    <s v="Tiffany"/>
    <s v="Salazar"/>
    <n v="51"/>
    <x v="2"/>
    <x v="0"/>
    <x v="13"/>
    <d v="2026-07-05T11:34:40"/>
  </r>
  <r>
    <n v="1390"/>
    <s v="Elizabeth"/>
    <s v="Lopez"/>
    <n v="49"/>
    <x v="2"/>
    <x v="3"/>
    <x v="16"/>
    <d v="2026-07-05T11:34:54"/>
  </r>
  <r>
    <n v="1391"/>
    <s v="Kimberly"/>
    <s v="Ortega"/>
    <n v="60"/>
    <x v="1"/>
    <x v="6"/>
    <x v="14"/>
    <d v="2026-07-05T11:35:06"/>
  </r>
  <r>
    <n v="1392"/>
    <s v="Heather"/>
    <s v="Bond"/>
    <n v="60"/>
    <x v="0"/>
    <x v="3"/>
    <x v="18"/>
    <d v="2026-07-05T11:35:16"/>
  </r>
  <r>
    <n v="1393"/>
    <s v="Tina"/>
    <s v="Ward"/>
    <n v="21"/>
    <x v="1"/>
    <x v="0"/>
    <x v="8"/>
    <d v="2026-07-05T11:35:32"/>
  </r>
  <r>
    <n v="1394"/>
    <s v="Jacqueline"/>
    <s v="Morrow"/>
    <n v="24"/>
    <x v="2"/>
    <x v="2"/>
    <x v="3"/>
    <d v="2026-07-05T11:36:02"/>
  </r>
  <r>
    <n v="1395"/>
    <s v="Jasmin"/>
    <s v="Hobbs"/>
    <n v="19"/>
    <x v="0"/>
    <x v="4"/>
    <x v="16"/>
    <d v="2026-07-05T11:36:16"/>
  </r>
  <r>
    <n v="1396"/>
    <s v="George"/>
    <s v="Thompson"/>
    <n v="49"/>
    <x v="1"/>
    <x v="3"/>
    <x v="11"/>
    <d v="2026-07-05T11:36:43"/>
  </r>
  <r>
    <n v="1397"/>
    <s v="Cathy"/>
    <s v="Martinez"/>
    <n v="49"/>
    <x v="1"/>
    <x v="4"/>
    <x v="18"/>
    <d v="2026-07-05T11:36:59"/>
  </r>
  <r>
    <n v="1398"/>
    <s v="Jennifer"/>
    <s v="Hampton"/>
    <n v="69"/>
    <x v="0"/>
    <x v="0"/>
    <x v="2"/>
    <d v="2026-07-05T11:37:12"/>
  </r>
  <r>
    <n v="1399"/>
    <s v="Wendy"/>
    <s v="Wagner"/>
    <n v="46"/>
    <x v="2"/>
    <x v="3"/>
    <x v="15"/>
    <d v="2026-07-05T11:37:24"/>
  </r>
  <r>
    <n v="1400"/>
    <s v="Pamela"/>
    <s v="Lopez"/>
    <n v="42"/>
    <x v="0"/>
    <x v="2"/>
    <x v="19"/>
    <d v="2026-07-05T11:37:40"/>
  </r>
  <r>
    <n v="1401"/>
    <s v="Jamie"/>
    <s v="Harris"/>
    <n v="22"/>
    <x v="2"/>
    <x v="4"/>
    <x v="1"/>
    <d v="2026-07-05T11:37:54"/>
  </r>
  <r>
    <n v="1402"/>
    <s v="Jacob"/>
    <s v="Diaz"/>
    <n v="44"/>
    <x v="0"/>
    <x v="6"/>
    <x v="15"/>
    <d v="2026-07-05T11:38:11"/>
  </r>
  <r>
    <n v="1403"/>
    <s v="Danielle"/>
    <s v="Robinson"/>
    <n v="58"/>
    <x v="0"/>
    <x v="1"/>
    <x v="3"/>
    <d v="2026-07-05T11:38:23"/>
  </r>
  <r>
    <n v="1404"/>
    <s v="Evelyn"/>
    <s v="Dean"/>
    <n v="61"/>
    <x v="1"/>
    <x v="2"/>
    <x v="14"/>
    <d v="2026-07-05T11:38:34"/>
  </r>
  <r>
    <n v="1405"/>
    <s v="William"/>
    <s v="Garza"/>
    <n v="58"/>
    <x v="2"/>
    <x v="1"/>
    <x v="16"/>
    <d v="2026-07-05T11:38:58"/>
  </r>
  <r>
    <n v="1406"/>
    <s v="Cynthia"/>
    <s v="Sanchez"/>
    <n v="32"/>
    <x v="0"/>
    <x v="6"/>
    <x v="8"/>
    <d v="2026-07-05T11:39:11"/>
  </r>
  <r>
    <n v="1407"/>
    <s v="Emily"/>
    <s v="Davenport"/>
    <n v="26"/>
    <x v="2"/>
    <x v="5"/>
    <x v="17"/>
    <d v="2026-07-05T11:39:3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1"/>
    <x v="0"/>
    <x v="0"/>
    <x v="0"/>
    <n v="452"/>
    <n v="1.6"/>
    <n v="14.65"/>
    <x v="0"/>
    <x v="0"/>
    <x v="0"/>
    <d v="2026-04-09T14:39:27"/>
  </r>
  <r>
    <n v="2"/>
    <x v="1"/>
    <x v="1"/>
    <x v="1"/>
    <n v="363"/>
    <n v="2.4"/>
    <n v="16.63"/>
    <x v="1"/>
    <x v="1"/>
    <x v="0"/>
    <d v="2026-04-09T14:39:42"/>
  </r>
  <r>
    <n v="3"/>
    <x v="2"/>
    <x v="1"/>
    <x v="1"/>
    <n v="325"/>
    <n v="6.8"/>
    <n v="22.62"/>
    <x v="0"/>
    <x v="2"/>
    <x v="0"/>
    <d v="2026-04-09T14:40:05"/>
  </r>
  <r>
    <n v="4"/>
    <x v="3"/>
    <x v="2"/>
    <x v="2"/>
    <n v="338"/>
    <n v="3.5"/>
    <n v="9.14"/>
    <x v="0"/>
    <x v="3"/>
    <x v="0"/>
    <d v="2026-04-09T14:40:15"/>
  </r>
  <r>
    <n v="5"/>
    <x v="4"/>
    <x v="3"/>
    <x v="0"/>
    <n v="226"/>
    <n v="2.1"/>
    <n v="7.69"/>
    <x v="0"/>
    <x v="4"/>
    <x v="0"/>
    <d v="2026-04-09T14:40:38"/>
  </r>
  <r>
    <n v="6"/>
    <x v="5"/>
    <x v="4"/>
    <x v="3"/>
    <n v="390"/>
    <n v="3.5"/>
    <n v="20.97"/>
    <x v="1"/>
    <x v="5"/>
    <x v="0"/>
    <d v="2026-04-09T14:40:44"/>
  </r>
  <r>
    <n v="7"/>
    <x v="6"/>
    <x v="5"/>
    <x v="4"/>
    <n v="399"/>
    <n v="4.3"/>
    <n v="10.24"/>
    <x v="0"/>
    <x v="4"/>
    <x v="0"/>
    <d v="2026-04-09T14:40:51"/>
  </r>
  <r>
    <n v="8"/>
    <x v="7"/>
    <x v="6"/>
    <x v="5"/>
    <n v="263"/>
    <n v="2.4"/>
    <n v="7.26"/>
    <x v="0"/>
    <x v="6"/>
    <x v="0"/>
    <d v="2026-04-09T14:40:56"/>
  </r>
  <r>
    <n v="9"/>
    <x v="8"/>
    <x v="7"/>
    <x v="6"/>
    <n v="459"/>
    <n v="6.5"/>
    <n v="11.69"/>
    <x v="0"/>
    <x v="5"/>
    <x v="0"/>
    <d v="2026-04-09T14:41:08"/>
  </r>
  <r>
    <n v="10"/>
    <x v="9"/>
    <x v="8"/>
    <x v="1"/>
    <n v="228"/>
    <n v="4.5"/>
    <n v="19.7"/>
    <x v="0"/>
    <x v="7"/>
    <x v="0"/>
    <d v="2026-04-09T14:41:31"/>
  </r>
  <r>
    <n v="11"/>
    <x v="10"/>
    <x v="9"/>
    <x v="0"/>
    <n v="335"/>
    <n v="2.2999999999999998"/>
    <n v="18.23"/>
    <x v="1"/>
    <x v="8"/>
    <x v="0"/>
    <d v="2026-04-09T14:41:45"/>
  </r>
  <r>
    <n v="12"/>
    <x v="11"/>
    <x v="10"/>
    <x v="3"/>
    <n v="348"/>
    <n v="5.2"/>
    <n v="16.079999999999998"/>
    <x v="0"/>
    <x v="9"/>
    <x v="0"/>
    <d v="2026-04-09T14:41:56"/>
  </r>
  <r>
    <n v="13"/>
    <x v="12"/>
    <x v="11"/>
    <x v="3"/>
    <n v="156"/>
    <n v="5.9"/>
    <n v="5.45"/>
    <x v="0"/>
    <x v="4"/>
    <x v="0"/>
    <d v="2026-04-09T14:42:05"/>
  </r>
  <r>
    <n v="14"/>
    <x v="13"/>
    <x v="12"/>
    <x v="2"/>
    <n v="468"/>
    <n v="5.7"/>
    <n v="11.49"/>
    <x v="0"/>
    <x v="4"/>
    <x v="0"/>
    <d v="2026-04-09T14:42:30"/>
  </r>
  <r>
    <n v="15"/>
    <x v="14"/>
    <x v="13"/>
    <x v="0"/>
    <n v="179"/>
    <n v="1.8"/>
    <n v="22.96"/>
    <x v="0"/>
    <x v="7"/>
    <x v="0"/>
    <d v="2026-04-09T14:42:41"/>
  </r>
  <r>
    <n v="16"/>
    <x v="15"/>
    <x v="14"/>
    <x v="0"/>
    <n v="249"/>
    <n v="6.4"/>
    <n v="24.5"/>
    <x v="0"/>
    <x v="5"/>
    <x v="0"/>
    <d v="2026-04-09T14:42:56"/>
  </r>
  <r>
    <n v="17"/>
    <x v="16"/>
    <x v="15"/>
    <x v="0"/>
    <n v="260"/>
    <n v="4.7"/>
    <n v="20.04"/>
    <x v="0"/>
    <x v="2"/>
    <x v="0"/>
    <d v="2026-04-09T14:43:19"/>
  </r>
  <r>
    <n v="18"/>
    <x v="17"/>
    <x v="11"/>
    <x v="3"/>
    <n v="217"/>
    <n v="4.0999999999999996"/>
    <n v="13.05"/>
    <x v="0"/>
    <x v="10"/>
    <x v="0"/>
    <d v="2026-04-09T14:43:24"/>
  </r>
  <r>
    <n v="19"/>
    <x v="18"/>
    <x v="5"/>
    <x v="4"/>
    <n v="125"/>
    <n v="3.9"/>
    <n v="17.75"/>
    <x v="1"/>
    <x v="11"/>
    <x v="0"/>
    <d v="2026-04-09T14:43:38"/>
  </r>
  <r>
    <n v="20"/>
    <x v="19"/>
    <x v="11"/>
    <x v="3"/>
    <n v="480"/>
    <n v="5.5"/>
    <n v="14.01"/>
    <x v="0"/>
    <x v="12"/>
    <x v="0"/>
    <d v="2026-04-09T14:43:54"/>
  </r>
  <r>
    <n v="21"/>
    <x v="0"/>
    <x v="0"/>
    <x v="0"/>
    <n v="160"/>
    <n v="4.7"/>
    <n v="17.809999999999999"/>
    <x v="0"/>
    <x v="13"/>
    <x v="0"/>
    <d v="2026-04-09T16:09:52"/>
  </r>
  <r>
    <n v="22"/>
    <x v="1"/>
    <x v="1"/>
    <x v="1"/>
    <n v="121"/>
    <n v="5.6"/>
    <n v="21.66"/>
    <x v="0"/>
    <x v="14"/>
    <x v="0"/>
    <d v="2026-04-09T16:10:05"/>
  </r>
  <r>
    <n v="23"/>
    <x v="2"/>
    <x v="1"/>
    <x v="1"/>
    <n v="367"/>
    <n v="5.4"/>
    <n v="13.58"/>
    <x v="0"/>
    <x v="4"/>
    <x v="0"/>
    <d v="2026-04-09T16:10:18"/>
  </r>
  <r>
    <n v="24"/>
    <x v="3"/>
    <x v="2"/>
    <x v="2"/>
    <n v="228"/>
    <n v="5.5"/>
    <n v="19.59"/>
    <x v="0"/>
    <x v="8"/>
    <x v="0"/>
    <d v="2026-04-09T16:10:36"/>
  </r>
  <r>
    <n v="25"/>
    <x v="4"/>
    <x v="3"/>
    <x v="0"/>
    <n v="179"/>
    <n v="4.0999999999999996"/>
    <n v="13.53"/>
    <x v="0"/>
    <x v="9"/>
    <x v="0"/>
    <d v="2026-04-09T16:10:41"/>
  </r>
  <r>
    <n v="26"/>
    <x v="5"/>
    <x v="4"/>
    <x v="3"/>
    <n v="189"/>
    <n v="3"/>
    <n v="20.420000000000002"/>
    <x v="0"/>
    <x v="5"/>
    <x v="0"/>
    <d v="2026-04-09T16:10:54"/>
  </r>
  <r>
    <n v="27"/>
    <x v="6"/>
    <x v="5"/>
    <x v="4"/>
    <n v="306"/>
    <n v="4.0999999999999996"/>
    <n v="12.49"/>
    <x v="0"/>
    <x v="15"/>
    <x v="0"/>
    <d v="2026-04-09T16:11:15"/>
  </r>
  <r>
    <n v="28"/>
    <x v="7"/>
    <x v="6"/>
    <x v="5"/>
    <n v="232"/>
    <n v="1.8"/>
    <n v="12.93"/>
    <x v="0"/>
    <x v="8"/>
    <x v="0"/>
    <d v="2026-04-09T16:11:36"/>
  </r>
  <r>
    <n v="29"/>
    <x v="8"/>
    <x v="7"/>
    <x v="6"/>
    <n v="162"/>
    <n v="4.3"/>
    <n v="11.92"/>
    <x v="0"/>
    <x v="16"/>
    <x v="0"/>
    <d v="2026-04-09T16:11:49"/>
  </r>
  <r>
    <n v="30"/>
    <x v="9"/>
    <x v="8"/>
    <x v="1"/>
    <n v="293"/>
    <n v="3.5"/>
    <n v="18.850000000000001"/>
    <x v="0"/>
    <x v="7"/>
    <x v="0"/>
    <d v="2026-04-09T16:11:56"/>
  </r>
  <r>
    <n v="31"/>
    <x v="10"/>
    <x v="9"/>
    <x v="0"/>
    <n v="247"/>
    <n v="2.2000000000000002"/>
    <n v="14.3"/>
    <x v="0"/>
    <x v="17"/>
    <x v="0"/>
    <d v="2026-04-09T16:12:05"/>
  </r>
  <r>
    <n v="32"/>
    <x v="11"/>
    <x v="10"/>
    <x v="3"/>
    <n v="394"/>
    <n v="6"/>
    <n v="14.62"/>
    <x v="0"/>
    <x v="1"/>
    <x v="0"/>
    <d v="2026-04-09T16:12:19"/>
  </r>
  <r>
    <n v="33"/>
    <x v="12"/>
    <x v="11"/>
    <x v="3"/>
    <n v="221"/>
    <n v="5.7"/>
    <n v="19.010000000000002"/>
    <x v="0"/>
    <x v="4"/>
    <x v="0"/>
    <d v="2026-04-09T16:12:42"/>
  </r>
  <r>
    <n v="34"/>
    <x v="13"/>
    <x v="12"/>
    <x v="2"/>
    <n v="467"/>
    <n v="4.9000000000000004"/>
    <n v="17.989999999999998"/>
    <x v="0"/>
    <x v="14"/>
    <x v="0"/>
    <d v="2026-04-09T16:12:51"/>
  </r>
  <r>
    <n v="35"/>
    <x v="14"/>
    <x v="13"/>
    <x v="0"/>
    <n v="320"/>
    <n v="1.6"/>
    <n v="21.7"/>
    <x v="0"/>
    <x v="2"/>
    <x v="0"/>
    <d v="2026-04-09T16:13:08"/>
  </r>
  <r>
    <n v="36"/>
    <x v="15"/>
    <x v="14"/>
    <x v="0"/>
    <n v="495"/>
    <n v="2.6"/>
    <n v="22"/>
    <x v="0"/>
    <x v="8"/>
    <x v="0"/>
    <d v="2026-04-09T16:13:28"/>
  </r>
  <r>
    <n v="37"/>
    <x v="16"/>
    <x v="15"/>
    <x v="0"/>
    <n v="371"/>
    <n v="3.5"/>
    <n v="16.920000000000002"/>
    <x v="0"/>
    <x v="17"/>
    <x v="0"/>
    <d v="2026-04-09T16:13:36"/>
  </r>
  <r>
    <n v="38"/>
    <x v="17"/>
    <x v="11"/>
    <x v="3"/>
    <n v="124"/>
    <n v="6.8"/>
    <n v="23.69"/>
    <x v="0"/>
    <x v="8"/>
    <x v="0"/>
    <d v="2026-04-09T16:14:01"/>
  </r>
  <r>
    <n v="39"/>
    <x v="18"/>
    <x v="5"/>
    <x v="4"/>
    <n v="380"/>
    <n v="5"/>
    <n v="9.35"/>
    <x v="0"/>
    <x v="10"/>
    <x v="0"/>
    <d v="2026-04-09T16:14:16"/>
  </r>
  <r>
    <n v="40"/>
    <x v="19"/>
    <x v="11"/>
    <x v="3"/>
    <n v="165"/>
    <n v="5.9"/>
    <n v="24.56"/>
    <x v="0"/>
    <x v="12"/>
    <x v="0"/>
    <d v="2026-04-09T16:14:26"/>
  </r>
  <r>
    <n v="41"/>
    <x v="0"/>
    <x v="0"/>
    <x v="0"/>
    <n v="428"/>
    <n v="6.7"/>
    <n v="21.91"/>
    <x v="1"/>
    <x v="18"/>
    <x v="0"/>
    <d v="2026-04-09T16:22:05"/>
  </r>
  <r>
    <n v="42"/>
    <x v="1"/>
    <x v="1"/>
    <x v="1"/>
    <n v="157"/>
    <n v="1.6"/>
    <n v="16.57"/>
    <x v="0"/>
    <x v="10"/>
    <x v="0"/>
    <d v="2026-04-09T16:22:12"/>
  </r>
  <r>
    <n v="43"/>
    <x v="2"/>
    <x v="1"/>
    <x v="1"/>
    <n v="279"/>
    <n v="6.2"/>
    <n v="24.35"/>
    <x v="0"/>
    <x v="13"/>
    <x v="0"/>
    <d v="2026-04-09T16:22:23"/>
  </r>
  <r>
    <n v="44"/>
    <x v="3"/>
    <x v="2"/>
    <x v="2"/>
    <n v="325"/>
    <n v="1.9"/>
    <n v="15.61"/>
    <x v="0"/>
    <x v="4"/>
    <x v="0"/>
    <d v="2026-04-09T16:22:46"/>
  </r>
  <r>
    <n v="45"/>
    <x v="4"/>
    <x v="3"/>
    <x v="0"/>
    <n v="467"/>
    <n v="6.5"/>
    <n v="17.809999999999999"/>
    <x v="0"/>
    <x v="13"/>
    <x v="0"/>
    <d v="2026-04-09T16:23:00"/>
  </r>
  <r>
    <n v="46"/>
    <x v="5"/>
    <x v="4"/>
    <x v="3"/>
    <n v="135"/>
    <n v="3.6"/>
    <n v="12.24"/>
    <x v="0"/>
    <x v="19"/>
    <x v="0"/>
    <d v="2026-04-09T16:23:17"/>
  </r>
  <r>
    <n v="47"/>
    <x v="6"/>
    <x v="5"/>
    <x v="4"/>
    <n v="299"/>
    <n v="2.1"/>
    <n v="14.06"/>
    <x v="0"/>
    <x v="19"/>
    <x v="0"/>
    <d v="2026-04-09T16:23:37"/>
  </r>
  <r>
    <n v="48"/>
    <x v="7"/>
    <x v="6"/>
    <x v="5"/>
    <n v="405"/>
    <n v="1.6"/>
    <n v="5.9"/>
    <x v="0"/>
    <x v="15"/>
    <x v="0"/>
    <d v="2026-04-09T16:23:43"/>
  </r>
  <r>
    <n v="49"/>
    <x v="8"/>
    <x v="7"/>
    <x v="6"/>
    <n v="169"/>
    <n v="4.5"/>
    <n v="22.45"/>
    <x v="0"/>
    <x v="0"/>
    <x v="0"/>
    <d v="2026-04-09T16:23:58"/>
  </r>
  <r>
    <n v="50"/>
    <x v="9"/>
    <x v="8"/>
    <x v="1"/>
    <n v="479"/>
    <n v="4.5"/>
    <n v="20.96"/>
    <x v="0"/>
    <x v="14"/>
    <x v="0"/>
    <d v="2026-04-09T16:24:15"/>
  </r>
  <r>
    <n v="51"/>
    <x v="10"/>
    <x v="9"/>
    <x v="0"/>
    <n v="216"/>
    <n v="6.9"/>
    <n v="9.1300000000000008"/>
    <x v="0"/>
    <x v="1"/>
    <x v="0"/>
    <d v="2026-04-09T16:24:38"/>
  </r>
  <r>
    <n v="52"/>
    <x v="11"/>
    <x v="10"/>
    <x v="3"/>
    <n v="311"/>
    <n v="2.2999999999999998"/>
    <n v="12.91"/>
    <x v="0"/>
    <x v="12"/>
    <x v="0"/>
    <d v="2026-04-09T16:25:00"/>
  </r>
  <r>
    <n v="53"/>
    <x v="12"/>
    <x v="11"/>
    <x v="3"/>
    <n v="264"/>
    <n v="2.1"/>
    <n v="20.37"/>
    <x v="0"/>
    <x v="18"/>
    <x v="0"/>
    <d v="2026-04-09T16:25:06"/>
  </r>
  <r>
    <n v="54"/>
    <x v="13"/>
    <x v="12"/>
    <x v="2"/>
    <n v="317"/>
    <n v="3.9"/>
    <n v="8.2100000000000009"/>
    <x v="0"/>
    <x v="16"/>
    <x v="0"/>
    <d v="2026-04-09T16:25:13"/>
  </r>
  <r>
    <n v="55"/>
    <x v="14"/>
    <x v="13"/>
    <x v="0"/>
    <n v="341"/>
    <n v="5.3"/>
    <n v="10.119999999999999"/>
    <x v="0"/>
    <x v="4"/>
    <x v="0"/>
    <d v="2026-04-09T16:25:23"/>
  </r>
  <r>
    <n v="56"/>
    <x v="15"/>
    <x v="14"/>
    <x v="0"/>
    <n v="122"/>
    <n v="1.7"/>
    <n v="17.579999999999998"/>
    <x v="0"/>
    <x v="17"/>
    <x v="0"/>
    <d v="2026-04-09T16:25:36"/>
  </r>
  <r>
    <n v="57"/>
    <x v="16"/>
    <x v="15"/>
    <x v="0"/>
    <n v="437"/>
    <n v="5.3"/>
    <n v="20.14"/>
    <x v="0"/>
    <x v="18"/>
    <x v="0"/>
    <d v="2026-04-09T16:25:51"/>
  </r>
  <r>
    <n v="58"/>
    <x v="17"/>
    <x v="11"/>
    <x v="3"/>
    <n v="143"/>
    <n v="2.2000000000000002"/>
    <n v="11.01"/>
    <x v="1"/>
    <x v="7"/>
    <x v="0"/>
    <d v="2026-04-09T16:26:02"/>
  </r>
  <r>
    <n v="59"/>
    <x v="18"/>
    <x v="5"/>
    <x v="4"/>
    <n v="274"/>
    <n v="4.2"/>
    <n v="14.75"/>
    <x v="0"/>
    <x v="17"/>
    <x v="0"/>
    <d v="2026-04-09T16:26:12"/>
  </r>
  <r>
    <n v="60"/>
    <x v="19"/>
    <x v="11"/>
    <x v="3"/>
    <n v="252"/>
    <n v="4.2"/>
    <n v="21.85"/>
    <x v="0"/>
    <x v="17"/>
    <x v="0"/>
    <d v="2026-04-09T16:26:29"/>
  </r>
  <r>
    <n v="61"/>
    <x v="0"/>
    <x v="0"/>
    <x v="0"/>
    <n v="243"/>
    <n v="6.2"/>
    <n v="9.4700000000000006"/>
    <x v="0"/>
    <x v="7"/>
    <x v="1"/>
    <d v="2026-04-10T20:13:58"/>
  </r>
  <r>
    <n v="62"/>
    <x v="1"/>
    <x v="1"/>
    <x v="1"/>
    <n v="113"/>
    <n v="6.3"/>
    <n v="17.38"/>
    <x v="0"/>
    <x v="14"/>
    <x v="1"/>
    <d v="2026-04-10T20:14:13"/>
  </r>
  <r>
    <n v="63"/>
    <x v="2"/>
    <x v="1"/>
    <x v="1"/>
    <n v="185"/>
    <n v="4.5"/>
    <n v="8.02"/>
    <x v="0"/>
    <x v="7"/>
    <x v="1"/>
    <d v="2026-04-10T20:14:33"/>
  </r>
  <r>
    <n v="64"/>
    <x v="3"/>
    <x v="2"/>
    <x v="2"/>
    <n v="346"/>
    <n v="5.3"/>
    <n v="20.39"/>
    <x v="0"/>
    <x v="10"/>
    <x v="1"/>
    <d v="2026-04-10T20:14:41"/>
  </r>
  <r>
    <n v="65"/>
    <x v="4"/>
    <x v="3"/>
    <x v="0"/>
    <n v="166"/>
    <n v="3.4"/>
    <n v="14.3"/>
    <x v="1"/>
    <x v="16"/>
    <x v="1"/>
    <d v="2026-04-10T20:15:06"/>
  </r>
  <r>
    <n v="66"/>
    <x v="5"/>
    <x v="4"/>
    <x v="3"/>
    <n v="287"/>
    <n v="3.5"/>
    <n v="12.78"/>
    <x v="0"/>
    <x v="9"/>
    <x v="1"/>
    <d v="2026-04-10T20:15:22"/>
  </r>
  <r>
    <n v="67"/>
    <x v="6"/>
    <x v="5"/>
    <x v="4"/>
    <n v="188"/>
    <n v="3.9"/>
    <n v="23.85"/>
    <x v="0"/>
    <x v="17"/>
    <x v="1"/>
    <d v="2026-04-10T20:15:42"/>
  </r>
  <r>
    <n v="68"/>
    <x v="7"/>
    <x v="6"/>
    <x v="5"/>
    <n v="264"/>
    <n v="1.9"/>
    <n v="11.62"/>
    <x v="0"/>
    <x v="14"/>
    <x v="1"/>
    <d v="2026-04-10T20:16:07"/>
  </r>
  <r>
    <n v="69"/>
    <x v="8"/>
    <x v="7"/>
    <x v="6"/>
    <n v="492"/>
    <n v="5.6"/>
    <n v="16.77"/>
    <x v="0"/>
    <x v="16"/>
    <x v="1"/>
    <d v="2026-04-10T20:16:27"/>
  </r>
  <r>
    <n v="70"/>
    <x v="9"/>
    <x v="8"/>
    <x v="1"/>
    <n v="273"/>
    <n v="3.4"/>
    <n v="14.4"/>
    <x v="0"/>
    <x v="18"/>
    <x v="1"/>
    <d v="2026-04-10T20:16:51"/>
  </r>
  <r>
    <n v="71"/>
    <x v="10"/>
    <x v="9"/>
    <x v="0"/>
    <n v="215"/>
    <n v="3.7"/>
    <n v="10.68"/>
    <x v="0"/>
    <x v="4"/>
    <x v="1"/>
    <d v="2026-04-10T20:17:02"/>
  </r>
  <r>
    <n v="72"/>
    <x v="11"/>
    <x v="10"/>
    <x v="3"/>
    <n v="314"/>
    <n v="4.5"/>
    <n v="11.19"/>
    <x v="0"/>
    <x v="1"/>
    <x v="1"/>
    <d v="2026-04-10T20:17:09"/>
  </r>
  <r>
    <n v="73"/>
    <x v="12"/>
    <x v="11"/>
    <x v="3"/>
    <n v="413"/>
    <n v="3.2"/>
    <n v="7.23"/>
    <x v="0"/>
    <x v="9"/>
    <x v="1"/>
    <d v="2026-04-10T20:17:19"/>
  </r>
  <r>
    <n v="74"/>
    <x v="13"/>
    <x v="12"/>
    <x v="2"/>
    <n v="495"/>
    <n v="3.4"/>
    <n v="23.69"/>
    <x v="0"/>
    <x v="4"/>
    <x v="1"/>
    <d v="2026-04-10T20:17:24"/>
  </r>
  <r>
    <n v="75"/>
    <x v="14"/>
    <x v="13"/>
    <x v="0"/>
    <n v="428"/>
    <n v="7"/>
    <n v="21.73"/>
    <x v="0"/>
    <x v="1"/>
    <x v="1"/>
    <d v="2026-04-10T20:17:49"/>
  </r>
  <r>
    <n v="76"/>
    <x v="15"/>
    <x v="14"/>
    <x v="0"/>
    <n v="332"/>
    <n v="2"/>
    <n v="6.46"/>
    <x v="0"/>
    <x v="17"/>
    <x v="1"/>
    <d v="2026-04-10T20:18:01"/>
  </r>
  <r>
    <n v="77"/>
    <x v="16"/>
    <x v="15"/>
    <x v="0"/>
    <n v="420"/>
    <n v="5.9"/>
    <n v="20.420000000000002"/>
    <x v="0"/>
    <x v="5"/>
    <x v="1"/>
    <d v="2026-04-10T20:18:11"/>
  </r>
  <r>
    <n v="78"/>
    <x v="17"/>
    <x v="11"/>
    <x v="3"/>
    <n v="422"/>
    <n v="3.9"/>
    <n v="18.75"/>
    <x v="0"/>
    <x v="7"/>
    <x v="1"/>
    <d v="2026-04-10T20:18:28"/>
  </r>
  <r>
    <n v="79"/>
    <x v="18"/>
    <x v="5"/>
    <x v="4"/>
    <n v="242"/>
    <n v="4.3"/>
    <n v="16.48"/>
    <x v="0"/>
    <x v="9"/>
    <x v="1"/>
    <d v="2026-04-10T20:18:41"/>
  </r>
  <r>
    <n v="80"/>
    <x v="19"/>
    <x v="11"/>
    <x v="3"/>
    <n v="303"/>
    <n v="4.4000000000000004"/>
    <n v="20.9"/>
    <x v="0"/>
    <x v="7"/>
    <x v="1"/>
    <d v="2026-04-10T20:18:59"/>
  </r>
  <r>
    <n v="81"/>
    <x v="0"/>
    <x v="0"/>
    <x v="0"/>
    <n v="384"/>
    <n v="3"/>
    <n v="18.23"/>
    <x v="0"/>
    <x v="20"/>
    <x v="2"/>
    <d v="2026-04-12T11:11:21"/>
  </r>
  <r>
    <n v="82"/>
    <x v="1"/>
    <x v="1"/>
    <x v="1"/>
    <n v="187"/>
    <n v="2.9"/>
    <n v="17.23"/>
    <x v="0"/>
    <x v="20"/>
    <x v="2"/>
    <d v="2026-04-12T11:11:35"/>
  </r>
  <r>
    <n v="83"/>
    <x v="2"/>
    <x v="1"/>
    <x v="1"/>
    <n v="381"/>
    <n v="2.4"/>
    <n v="23.19"/>
    <x v="0"/>
    <x v="0"/>
    <x v="2"/>
    <d v="2026-04-12T11:11:54"/>
  </r>
  <r>
    <n v="84"/>
    <x v="3"/>
    <x v="2"/>
    <x v="2"/>
    <n v="355"/>
    <n v="3"/>
    <n v="17.02"/>
    <x v="1"/>
    <x v="12"/>
    <x v="2"/>
    <d v="2026-04-12T11:12:15"/>
  </r>
  <r>
    <n v="85"/>
    <x v="4"/>
    <x v="3"/>
    <x v="0"/>
    <n v="223"/>
    <n v="5.6"/>
    <n v="17.46"/>
    <x v="0"/>
    <x v="4"/>
    <x v="2"/>
    <d v="2026-04-12T11:12:27"/>
  </r>
  <r>
    <n v="86"/>
    <x v="5"/>
    <x v="4"/>
    <x v="3"/>
    <n v="146"/>
    <n v="2.1"/>
    <n v="14.01"/>
    <x v="0"/>
    <x v="7"/>
    <x v="2"/>
    <d v="2026-04-12T11:12:37"/>
  </r>
  <r>
    <n v="87"/>
    <x v="6"/>
    <x v="5"/>
    <x v="4"/>
    <n v="265"/>
    <n v="3.1"/>
    <n v="21.06"/>
    <x v="0"/>
    <x v="6"/>
    <x v="2"/>
    <d v="2026-04-12T11:12:44"/>
  </r>
  <r>
    <n v="88"/>
    <x v="7"/>
    <x v="6"/>
    <x v="5"/>
    <n v="224"/>
    <n v="6.1"/>
    <n v="24.76"/>
    <x v="0"/>
    <x v="11"/>
    <x v="2"/>
    <d v="2026-04-12T11:13:01"/>
  </r>
  <r>
    <n v="89"/>
    <x v="8"/>
    <x v="7"/>
    <x v="6"/>
    <n v="428"/>
    <n v="6.5"/>
    <n v="10.81"/>
    <x v="0"/>
    <x v="8"/>
    <x v="2"/>
    <d v="2026-04-12T11:13:08"/>
  </r>
  <r>
    <n v="90"/>
    <x v="9"/>
    <x v="8"/>
    <x v="1"/>
    <n v="472"/>
    <n v="4.7"/>
    <n v="19.16"/>
    <x v="0"/>
    <x v="1"/>
    <x v="2"/>
    <d v="2026-04-12T11:13:17"/>
  </r>
  <r>
    <n v="91"/>
    <x v="10"/>
    <x v="9"/>
    <x v="0"/>
    <n v="323"/>
    <n v="5.0999999999999996"/>
    <n v="15.06"/>
    <x v="0"/>
    <x v="10"/>
    <x v="2"/>
    <d v="2026-04-12T11:13:23"/>
  </r>
  <r>
    <n v="92"/>
    <x v="11"/>
    <x v="10"/>
    <x v="3"/>
    <n v="121"/>
    <n v="2.7"/>
    <n v="10.29"/>
    <x v="0"/>
    <x v="19"/>
    <x v="2"/>
    <d v="2026-04-12T11:13:41"/>
  </r>
  <r>
    <n v="93"/>
    <x v="12"/>
    <x v="11"/>
    <x v="3"/>
    <n v="391"/>
    <n v="2"/>
    <n v="20.98"/>
    <x v="0"/>
    <x v="15"/>
    <x v="2"/>
    <d v="2026-04-12T11:13:53"/>
  </r>
  <r>
    <n v="94"/>
    <x v="13"/>
    <x v="12"/>
    <x v="2"/>
    <n v="139"/>
    <n v="2.6"/>
    <n v="22.21"/>
    <x v="0"/>
    <x v="1"/>
    <x v="2"/>
    <d v="2026-04-12T11:14:02"/>
  </r>
  <r>
    <n v="95"/>
    <x v="14"/>
    <x v="13"/>
    <x v="0"/>
    <n v="225"/>
    <n v="6.2"/>
    <n v="21.87"/>
    <x v="0"/>
    <x v="18"/>
    <x v="2"/>
    <d v="2026-04-12T11:14:13"/>
  </r>
  <r>
    <n v="96"/>
    <x v="15"/>
    <x v="14"/>
    <x v="0"/>
    <n v="338"/>
    <n v="4.0999999999999996"/>
    <n v="12.86"/>
    <x v="0"/>
    <x v="8"/>
    <x v="2"/>
    <d v="2026-04-12T11:14:19"/>
  </r>
  <r>
    <n v="97"/>
    <x v="16"/>
    <x v="15"/>
    <x v="0"/>
    <n v="235"/>
    <n v="6.8"/>
    <n v="23.29"/>
    <x v="0"/>
    <x v="14"/>
    <x v="2"/>
    <d v="2026-04-12T11:14:38"/>
  </r>
  <r>
    <n v="98"/>
    <x v="17"/>
    <x v="11"/>
    <x v="3"/>
    <n v="162"/>
    <n v="4.4000000000000004"/>
    <n v="15.02"/>
    <x v="1"/>
    <x v="3"/>
    <x v="2"/>
    <d v="2026-04-12T11:14:57"/>
  </r>
  <r>
    <n v="99"/>
    <x v="18"/>
    <x v="5"/>
    <x v="4"/>
    <n v="139"/>
    <n v="3.3"/>
    <n v="21.64"/>
    <x v="0"/>
    <x v="14"/>
    <x v="2"/>
    <d v="2026-04-12T11:15:06"/>
  </r>
  <r>
    <n v="100"/>
    <x v="19"/>
    <x v="11"/>
    <x v="3"/>
    <n v="281"/>
    <n v="2.7"/>
    <n v="19.11"/>
    <x v="0"/>
    <x v="13"/>
    <x v="2"/>
    <d v="2026-04-12T11:15:23"/>
  </r>
  <r>
    <n v="101"/>
    <x v="0"/>
    <x v="0"/>
    <x v="0"/>
    <n v="481"/>
    <n v="5.8"/>
    <n v="18.809999999999999"/>
    <x v="0"/>
    <x v="14"/>
    <x v="2"/>
    <d v="2026-04-12T11:16:47"/>
  </r>
  <r>
    <n v="102"/>
    <x v="1"/>
    <x v="1"/>
    <x v="1"/>
    <n v="425"/>
    <n v="6.8"/>
    <n v="18.899999999999999"/>
    <x v="0"/>
    <x v="6"/>
    <x v="2"/>
    <d v="2026-04-12T11:17:01"/>
  </r>
  <r>
    <n v="103"/>
    <x v="2"/>
    <x v="1"/>
    <x v="1"/>
    <n v="486"/>
    <n v="1.7"/>
    <n v="17.32"/>
    <x v="0"/>
    <x v="20"/>
    <x v="2"/>
    <d v="2026-04-12T11:17:26"/>
  </r>
  <r>
    <n v="104"/>
    <x v="3"/>
    <x v="2"/>
    <x v="2"/>
    <n v="220"/>
    <n v="1.8"/>
    <n v="22.73"/>
    <x v="0"/>
    <x v="13"/>
    <x v="2"/>
    <d v="2026-04-12T11:17:41"/>
  </r>
  <r>
    <n v="105"/>
    <x v="4"/>
    <x v="3"/>
    <x v="0"/>
    <n v="342"/>
    <n v="4.8"/>
    <n v="8.5399999999999991"/>
    <x v="0"/>
    <x v="0"/>
    <x v="2"/>
    <d v="2026-04-12T11:18:00"/>
  </r>
  <r>
    <n v="106"/>
    <x v="5"/>
    <x v="4"/>
    <x v="3"/>
    <n v="200"/>
    <n v="3.6"/>
    <n v="24.71"/>
    <x v="0"/>
    <x v="15"/>
    <x v="2"/>
    <d v="2026-04-12T11:18:09"/>
  </r>
  <r>
    <n v="107"/>
    <x v="6"/>
    <x v="5"/>
    <x v="4"/>
    <n v="404"/>
    <n v="3.9"/>
    <n v="24.03"/>
    <x v="0"/>
    <x v="8"/>
    <x v="2"/>
    <d v="2026-04-12T11:18:32"/>
  </r>
  <r>
    <n v="108"/>
    <x v="7"/>
    <x v="6"/>
    <x v="5"/>
    <n v="360"/>
    <n v="5.6"/>
    <n v="13.68"/>
    <x v="0"/>
    <x v="10"/>
    <x v="2"/>
    <d v="2026-04-12T11:18:46"/>
  </r>
  <r>
    <n v="109"/>
    <x v="8"/>
    <x v="7"/>
    <x v="6"/>
    <n v="306"/>
    <n v="3.4"/>
    <n v="20.39"/>
    <x v="0"/>
    <x v="7"/>
    <x v="2"/>
    <d v="2026-04-12T11:19:05"/>
  </r>
  <r>
    <n v="110"/>
    <x v="9"/>
    <x v="8"/>
    <x v="1"/>
    <n v="154"/>
    <n v="3"/>
    <n v="6.73"/>
    <x v="0"/>
    <x v="17"/>
    <x v="2"/>
    <d v="2026-04-12T11:19:27"/>
  </r>
  <r>
    <n v="111"/>
    <x v="10"/>
    <x v="9"/>
    <x v="0"/>
    <n v="223"/>
    <n v="1.7"/>
    <n v="16.96"/>
    <x v="0"/>
    <x v="8"/>
    <x v="2"/>
    <d v="2026-04-12T11:19:52"/>
  </r>
  <r>
    <n v="112"/>
    <x v="11"/>
    <x v="10"/>
    <x v="3"/>
    <n v="412"/>
    <n v="6.2"/>
    <n v="9.8800000000000008"/>
    <x v="0"/>
    <x v="1"/>
    <x v="2"/>
    <d v="2026-04-12T11:20:17"/>
  </r>
  <r>
    <n v="113"/>
    <x v="12"/>
    <x v="11"/>
    <x v="3"/>
    <n v="474"/>
    <n v="2.5"/>
    <n v="20.9"/>
    <x v="0"/>
    <x v="8"/>
    <x v="2"/>
    <d v="2026-04-12T11:20:26"/>
  </r>
  <r>
    <n v="114"/>
    <x v="13"/>
    <x v="12"/>
    <x v="2"/>
    <n v="411"/>
    <n v="2.2999999999999998"/>
    <n v="13.44"/>
    <x v="0"/>
    <x v="9"/>
    <x v="2"/>
    <d v="2026-04-12T11:20:37"/>
  </r>
  <r>
    <n v="115"/>
    <x v="14"/>
    <x v="13"/>
    <x v="0"/>
    <n v="302"/>
    <n v="6"/>
    <n v="13.24"/>
    <x v="0"/>
    <x v="12"/>
    <x v="2"/>
    <d v="2026-04-12T11:21:01"/>
  </r>
  <r>
    <n v="116"/>
    <x v="15"/>
    <x v="14"/>
    <x v="0"/>
    <n v="218"/>
    <n v="3.5"/>
    <n v="21.17"/>
    <x v="0"/>
    <x v="1"/>
    <x v="2"/>
    <d v="2026-04-12T11:21:17"/>
  </r>
  <r>
    <n v="117"/>
    <x v="16"/>
    <x v="15"/>
    <x v="0"/>
    <n v="104"/>
    <n v="6"/>
    <n v="5.12"/>
    <x v="0"/>
    <x v="2"/>
    <x v="2"/>
    <d v="2026-04-12T11:21:22"/>
  </r>
  <r>
    <n v="118"/>
    <x v="17"/>
    <x v="11"/>
    <x v="3"/>
    <n v="198"/>
    <n v="1.9"/>
    <n v="8.2899999999999991"/>
    <x v="0"/>
    <x v="10"/>
    <x v="2"/>
    <d v="2026-04-12T11:21:29"/>
  </r>
  <r>
    <n v="119"/>
    <x v="18"/>
    <x v="5"/>
    <x v="4"/>
    <n v="204"/>
    <n v="2.8"/>
    <n v="14.3"/>
    <x v="0"/>
    <x v="0"/>
    <x v="2"/>
    <d v="2026-04-12T11:21:46"/>
  </r>
  <r>
    <n v="120"/>
    <x v="19"/>
    <x v="11"/>
    <x v="3"/>
    <n v="345"/>
    <n v="4.7"/>
    <n v="20.399999999999999"/>
    <x v="0"/>
    <x v="20"/>
    <x v="2"/>
    <d v="2026-04-12T11:22:04"/>
  </r>
  <r>
    <n v="121"/>
    <x v="0"/>
    <x v="0"/>
    <x v="0"/>
    <n v="322"/>
    <n v="5.5"/>
    <n v="18.39"/>
    <x v="0"/>
    <x v="19"/>
    <x v="2"/>
    <d v="2026-04-12T11:41:34"/>
  </r>
  <r>
    <n v="122"/>
    <x v="1"/>
    <x v="1"/>
    <x v="1"/>
    <n v="333"/>
    <n v="3.9"/>
    <n v="8.26"/>
    <x v="1"/>
    <x v="11"/>
    <x v="2"/>
    <d v="2026-04-12T11:41:59"/>
  </r>
  <r>
    <n v="123"/>
    <x v="2"/>
    <x v="1"/>
    <x v="1"/>
    <n v="290"/>
    <n v="5.3"/>
    <n v="19.809999999999999"/>
    <x v="0"/>
    <x v="10"/>
    <x v="2"/>
    <d v="2026-04-12T11:42:16"/>
  </r>
  <r>
    <n v="124"/>
    <x v="3"/>
    <x v="2"/>
    <x v="2"/>
    <n v="196"/>
    <n v="5.8"/>
    <n v="21.37"/>
    <x v="0"/>
    <x v="18"/>
    <x v="2"/>
    <d v="2026-04-12T11:42:27"/>
  </r>
  <r>
    <n v="125"/>
    <x v="4"/>
    <x v="3"/>
    <x v="0"/>
    <n v="305"/>
    <n v="4.4000000000000004"/>
    <n v="9.0399999999999991"/>
    <x v="0"/>
    <x v="12"/>
    <x v="2"/>
    <d v="2026-04-12T11:42:52"/>
  </r>
  <r>
    <n v="126"/>
    <x v="5"/>
    <x v="4"/>
    <x v="3"/>
    <n v="241"/>
    <n v="1.7"/>
    <n v="19.48"/>
    <x v="0"/>
    <x v="19"/>
    <x v="2"/>
    <d v="2026-04-12T11:43:09"/>
  </r>
  <r>
    <n v="127"/>
    <x v="6"/>
    <x v="5"/>
    <x v="4"/>
    <n v="157"/>
    <n v="6.2"/>
    <n v="7.34"/>
    <x v="0"/>
    <x v="6"/>
    <x v="2"/>
    <d v="2026-04-12T11:43:22"/>
  </r>
  <r>
    <n v="128"/>
    <x v="7"/>
    <x v="6"/>
    <x v="5"/>
    <n v="293"/>
    <n v="3"/>
    <n v="17.850000000000001"/>
    <x v="0"/>
    <x v="7"/>
    <x v="2"/>
    <d v="2026-04-12T11:43:35"/>
  </r>
  <r>
    <n v="129"/>
    <x v="8"/>
    <x v="7"/>
    <x v="6"/>
    <n v="202"/>
    <n v="3.9"/>
    <n v="12.87"/>
    <x v="0"/>
    <x v="1"/>
    <x v="2"/>
    <d v="2026-04-12T11:43:47"/>
  </r>
  <r>
    <n v="130"/>
    <x v="9"/>
    <x v="8"/>
    <x v="1"/>
    <n v="216"/>
    <n v="5.6"/>
    <n v="7.97"/>
    <x v="0"/>
    <x v="11"/>
    <x v="2"/>
    <d v="2026-04-12T11:44:06"/>
  </r>
  <r>
    <n v="131"/>
    <x v="10"/>
    <x v="9"/>
    <x v="0"/>
    <n v="244"/>
    <n v="2.9"/>
    <n v="24.39"/>
    <x v="0"/>
    <x v="2"/>
    <x v="2"/>
    <d v="2026-04-12T11:44:13"/>
  </r>
  <r>
    <n v="132"/>
    <x v="11"/>
    <x v="10"/>
    <x v="3"/>
    <n v="353"/>
    <n v="4.4000000000000004"/>
    <n v="10.82"/>
    <x v="0"/>
    <x v="14"/>
    <x v="2"/>
    <d v="2026-04-12T11:44:35"/>
  </r>
  <r>
    <n v="133"/>
    <x v="12"/>
    <x v="11"/>
    <x v="3"/>
    <n v="302"/>
    <n v="5.0999999999999996"/>
    <n v="10.88"/>
    <x v="0"/>
    <x v="2"/>
    <x v="2"/>
    <d v="2026-04-12T11:44:54"/>
  </r>
  <r>
    <n v="134"/>
    <x v="13"/>
    <x v="12"/>
    <x v="2"/>
    <n v="315"/>
    <n v="2.4"/>
    <n v="13.41"/>
    <x v="0"/>
    <x v="13"/>
    <x v="2"/>
    <d v="2026-04-12T11:45:15"/>
  </r>
  <r>
    <n v="135"/>
    <x v="14"/>
    <x v="13"/>
    <x v="0"/>
    <n v="435"/>
    <n v="5.4"/>
    <n v="9.52"/>
    <x v="0"/>
    <x v="14"/>
    <x v="2"/>
    <d v="2026-04-12T11:45:33"/>
  </r>
  <r>
    <n v="136"/>
    <x v="15"/>
    <x v="14"/>
    <x v="0"/>
    <n v="323"/>
    <n v="5.9"/>
    <n v="19.670000000000002"/>
    <x v="0"/>
    <x v="16"/>
    <x v="2"/>
    <d v="2026-04-12T11:45:54"/>
  </r>
  <r>
    <n v="137"/>
    <x v="16"/>
    <x v="15"/>
    <x v="0"/>
    <n v="103"/>
    <n v="6.7"/>
    <n v="24.01"/>
    <x v="0"/>
    <x v="20"/>
    <x v="2"/>
    <d v="2026-04-12T11:46:11"/>
  </r>
  <r>
    <n v="138"/>
    <x v="17"/>
    <x v="11"/>
    <x v="3"/>
    <n v="410"/>
    <n v="1.8"/>
    <n v="17.850000000000001"/>
    <x v="0"/>
    <x v="4"/>
    <x v="2"/>
    <d v="2026-04-12T11:46:30"/>
  </r>
  <r>
    <n v="139"/>
    <x v="18"/>
    <x v="5"/>
    <x v="4"/>
    <n v="443"/>
    <n v="5"/>
    <n v="19.93"/>
    <x v="0"/>
    <x v="11"/>
    <x v="2"/>
    <d v="2026-04-12T11:46:54"/>
  </r>
  <r>
    <n v="140"/>
    <x v="19"/>
    <x v="11"/>
    <x v="3"/>
    <n v="115"/>
    <n v="4.5"/>
    <n v="21.84"/>
    <x v="0"/>
    <x v="1"/>
    <x v="2"/>
    <d v="2026-04-12T11:47:18"/>
  </r>
  <r>
    <n v="141"/>
    <x v="0"/>
    <x v="0"/>
    <x v="0"/>
    <n v="262"/>
    <n v="3"/>
    <n v="14.25"/>
    <x v="1"/>
    <x v="9"/>
    <x v="3"/>
    <d v="2026-04-13T13:39:44"/>
  </r>
  <r>
    <n v="142"/>
    <x v="1"/>
    <x v="1"/>
    <x v="1"/>
    <n v="222"/>
    <n v="4.4000000000000004"/>
    <n v="8.0399999999999991"/>
    <x v="0"/>
    <x v="20"/>
    <x v="3"/>
    <d v="2026-04-13T13:40:01"/>
  </r>
  <r>
    <n v="143"/>
    <x v="2"/>
    <x v="1"/>
    <x v="1"/>
    <n v="429"/>
    <n v="7"/>
    <n v="11.65"/>
    <x v="0"/>
    <x v="11"/>
    <x v="3"/>
    <d v="2026-04-13T13:40:26"/>
  </r>
  <r>
    <n v="144"/>
    <x v="3"/>
    <x v="2"/>
    <x v="2"/>
    <n v="129"/>
    <n v="6.9"/>
    <n v="7.17"/>
    <x v="0"/>
    <x v="20"/>
    <x v="3"/>
    <d v="2026-04-13T13:40:48"/>
  </r>
  <r>
    <n v="145"/>
    <x v="4"/>
    <x v="3"/>
    <x v="0"/>
    <n v="217"/>
    <n v="3.2"/>
    <n v="12.33"/>
    <x v="0"/>
    <x v="20"/>
    <x v="3"/>
    <d v="2026-04-13T13:41:05"/>
  </r>
  <r>
    <n v="146"/>
    <x v="5"/>
    <x v="4"/>
    <x v="3"/>
    <n v="330"/>
    <n v="1.5"/>
    <n v="18.38"/>
    <x v="0"/>
    <x v="14"/>
    <x v="3"/>
    <d v="2026-04-13T13:41:16"/>
  </r>
  <r>
    <n v="147"/>
    <x v="6"/>
    <x v="5"/>
    <x v="4"/>
    <n v="311"/>
    <n v="4.3"/>
    <n v="24.67"/>
    <x v="0"/>
    <x v="10"/>
    <x v="3"/>
    <d v="2026-04-13T13:41:32"/>
  </r>
  <r>
    <n v="148"/>
    <x v="7"/>
    <x v="6"/>
    <x v="5"/>
    <n v="154"/>
    <n v="6.7"/>
    <n v="22.23"/>
    <x v="0"/>
    <x v="0"/>
    <x v="3"/>
    <d v="2026-04-13T13:41:53"/>
  </r>
  <r>
    <n v="149"/>
    <x v="8"/>
    <x v="7"/>
    <x v="6"/>
    <n v="132"/>
    <n v="2.2000000000000002"/>
    <n v="13.01"/>
    <x v="0"/>
    <x v="9"/>
    <x v="3"/>
    <d v="2026-04-13T13:42:17"/>
  </r>
  <r>
    <n v="150"/>
    <x v="9"/>
    <x v="8"/>
    <x v="1"/>
    <n v="379"/>
    <n v="3.2"/>
    <n v="15.54"/>
    <x v="0"/>
    <x v="18"/>
    <x v="3"/>
    <d v="2026-04-13T13:42:37"/>
  </r>
  <r>
    <n v="151"/>
    <x v="10"/>
    <x v="9"/>
    <x v="0"/>
    <n v="388"/>
    <n v="4.5999999999999996"/>
    <n v="10.74"/>
    <x v="0"/>
    <x v="7"/>
    <x v="3"/>
    <d v="2026-04-13T13:42:58"/>
  </r>
  <r>
    <n v="152"/>
    <x v="11"/>
    <x v="10"/>
    <x v="3"/>
    <n v="183"/>
    <n v="1.6"/>
    <n v="14.82"/>
    <x v="0"/>
    <x v="10"/>
    <x v="3"/>
    <d v="2026-04-13T13:43:15"/>
  </r>
  <r>
    <n v="153"/>
    <x v="12"/>
    <x v="11"/>
    <x v="3"/>
    <n v="436"/>
    <n v="5.0999999999999996"/>
    <n v="18.93"/>
    <x v="0"/>
    <x v="20"/>
    <x v="3"/>
    <d v="2026-04-13T13:43:36"/>
  </r>
  <r>
    <n v="154"/>
    <x v="13"/>
    <x v="12"/>
    <x v="2"/>
    <n v="135"/>
    <n v="2.1"/>
    <n v="18.12"/>
    <x v="0"/>
    <x v="7"/>
    <x v="3"/>
    <d v="2026-04-13T13:43:50"/>
  </r>
  <r>
    <n v="155"/>
    <x v="14"/>
    <x v="13"/>
    <x v="0"/>
    <n v="430"/>
    <n v="2.2999999999999998"/>
    <n v="8.0399999999999991"/>
    <x v="0"/>
    <x v="20"/>
    <x v="3"/>
    <d v="2026-04-13T13:44:06"/>
  </r>
  <r>
    <n v="156"/>
    <x v="15"/>
    <x v="14"/>
    <x v="0"/>
    <n v="213"/>
    <n v="2.2999999999999998"/>
    <n v="22.73"/>
    <x v="0"/>
    <x v="19"/>
    <x v="3"/>
    <d v="2026-04-13T13:44:22"/>
  </r>
  <r>
    <n v="157"/>
    <x v="16"/>
    <x v="15"/>
    <x v="0"/>
    <n v="119"/>
    <n v="6.9"/>
    <n v="20.47"/>
    <x v="0"/>
    <x v="18"/>
    <x v="3"/>
    <d v="2026-04-13T13:44:27"/>
  </r>
  <r>
    <n v="158"/>
    <x v="17"/>
    <x v="11"/>
    <x v="3"/>
    <n v="467"/>
    <n v="2.6"/>
    <n v="10.76"/>
    <x v="0"/>
    <x v="19"/>
    <x v="3"/>
    <d v="2026-04-13T13:44:52"/>
  </r>
  <r>
    <n v="159"/>
    <x v="18"/>
    <x v="5"/>
    <x v="4"/>
    <n v="167"/>
    <n v="1.8"/>
    <n v="9.31"/>
    <x v="0"/>
    <x v="17"/>
    <x v="3"/>
    <d v="2026-04-13T13:45:13"/>
  </r>
  <r>
    <n v="160"/>
    <x v="19"/>
    <x v="11"/>
    <x v="3"/>
    <n v="463"/>
    <n v="6.4"/>
    <n v="12.66"/>
    <x v="0"/>
    <x v="17"/>
    <x v="3"/>
    <d v="2026-04-13T13:45:18"/>
  </r>
  <r>
    <n v="161"/>
    <x v="0"/>
    <x v="0"/>
    <x v="0"/>
    <n v="247"/>
    <n v="1.7"/>
    <n v="21.58"/>
    <x v="0"/>
    <x v="17"/>
    <x v="3"/>
    <d v="2026-04-13T13:57:04"/>
  </r>
  <r>
    <n v="162"/>
    <x v="1"/>
    <x v="1"/>
    <x v="1"/>
    <n v="172"/>
    <n v="5.3"/>
    <n v="20.57"/>
    <x v="0"/>
    <x v="14"/>
    <x v="3"/>
    <d v="2026-04-13T13:57:28"/>
  </r>
  <r>
    <n v="163"/>
    <x v="2"/>
    <x v="1"/>
    <x v="1"/>
    <n v="447"/>
    <n v="5.9"/>
    <n v="15.28"/>
    <x v="0"/>
    <x v="14"/>
    <x v="3"/>
    <d v="2026-04-13T13:57:51"/>
  </r>
  <r>
    <n v="164"/>
    <x v="3"/>
    <x v="2"/>
    <x v="2"/>
    <n v="325"/>
    <n v="3.1"/>
    <n v="16.07"/>
    <x v="0"/>
    <x v="17"/>
    <x v="3"/>
    <d v="2026-04-13T13:58:01"/>
  </r>
  <r>
    <n v="165"/>
    <x v="4"/>
    <x v="3"/>
    <x v="0"/>
    <n v="324"/>
    <n v="2.1"/>
    <n v="21.41"/>
    <x v="0"/>
    <x v="6"/>
    <x v="3"/>
    <d v="2026-04-13T13:58:18"/>
  </r>
  <r>
    <n v="166"/>
    <x v="5"/>
    <x v="4"/>
    <x v="3"/>
    <n v="462"/>
    <n v="5.3"/>
    <n v="9.36"/>
    <x v="0"/>
    <x v="19"/>
    <x v="3"/>
    <d v="2026-04-13T13:58:36"/>
  </r>
  <r>
    <n v="167"/>
    <x v="6"/>
    <x v="5"/>
    <x v="4"/>
    <n v="403"/>
    <n v="4.9000000000000004"/>
    <n v="16.670000000000002"/>
    <x v="0"/>
    <x v="11"/>
    <x v="3"/>
    <d v="2026-04-13T13:59:01"/>
  </r>
  <r>
    <n v="168"/>
    <x v="7"/>
    <x v="6"/>
    <x v="5"/>
    <n v="469"/>
    <n v="5.5"/>
    <n v="9.44"/>
    <x v="0"/>
    <x v="8"/>
    <x v="3"/>
    <d v="2026-04-13T13:59:13"/>
  </r>
  <r>
    <n v="169"/>
    <x v="8"/>
    <x v="7"/>
    <x v="6"/>
    <n v="247"/>
    <n v="5.7"/>
    <n v="14.73"/>
    <x v="0"/>
    <x v="2"/>
    <x v="3"/>
    <d v="2026-04-13T13:59:34"/>
  </r>
  <r>
    <n v="170"/>
    <x v="9"/>
    <x v="8"/>
    <x v="1"/>
    <n v="273"/>
    <n v="3.9"/>
    <n v="11.71"/>
    <x v="0"/>
    <x v="7"/>
    <x v="3"/>
    <d v="2026-04-13T13:59:59"/>
  </r>
  <r>
    <n v="171"/>
    <x v="10"/>
    <x v="9"/>
    <x v="0"/>
    <n v="264"/>
    <n v="2.2000000000000002"/>
    <n v="19.010000000000002"/>
    <x v="0"/>
    <x v="8"/>
    <x v="3"/>
    <d v="2026-04-13T14:00:20"/>
  </r>
  <r>
    <n v="172"/>
    <x v="11"/>
    <x v="10"/>
    <x v="3"/>
    <n v="340"/>
    <n v="3"/>
    <n v="19.45"/>
    <x v="0"/>
    <x v="19"/>
    <x v="3"/>
    <d v="2026-04-13T14:00:45"/>
  </r>
  <r>
    <n v="173"/>
    <x v="12"/>
    <x v="11"/>
    <x v="3"/>
    <n v="341"/>
    <n v="5.7"/>
    <n v="22.51"/>
    <x v="0"/>
    <x v="8"/>
    <x v="3"/>
    <d v="2026-04-13T14:00:55"/>
  </r>
  <r>
    <n v="174"/>
    <x v="13"/>
    <x v="12"/>
    <x v="2"/>
    <n v="414"/>
    <n v="2.2000000000000002"/>
    <n v="13.79"/>
    <x v="0"/>
    <x v="3"/>
    <x v="3"/>
    <d v="2026-04-13T14:01:18"/>
  </r>
  <r>
    <n v="175"/>
    <x v="14"/>
    <x v="13"/>
    <x v="0"/>
    <n v="155"/>
    <n v="6.4"/>
    <n v="5.93"/>
    <x v="0"/>
    <x v="19"/>
    <x v="3"/>
    <d v="2026-04-13T14:01:43"/>
  </r>
  <r>
    <n v="176"/>
    <x v="15"/>
    <x v="14"/>
    <x v="0"/>
    <n v="444"/>
    <n v="2.2000000000000002"/>
    <n v="7.22"/>
    <x v="0"/>
    <x v="1"/>
    <x v="3"/>
    <d v="2026-04-13T14:01:55"/>
  </r>
  <r>
    <n v="177"/>
    <x v="16"/>
    <x v="15"/>
    <x v="0"/>
    <n v="459"/>
    <n v="6.8"/>
    <n v="19.399999999999999"/>
    <x v="0"/>
    <x v="3"/>
    <x v="3"/>
    <d v="2026-04-13T14:02:04"/>
  </r>
  <r>
    <n v="178"/>
    <x v="17"/>
    <x v="11"/>
    <x v="3"/>
    <n v="428"/>
    <n v="1.7"/>
    <n v="5.9"/>
    <x v="0"/>
    <x v="16"/>
    <x v="3"/>
    <d v="2026-04-13T14:02:13"/>
  </r>
  <r>
    <n v="179"/>
    <x v="18"/>
    <x v="5"/>
    <x v="4"/>
    <n v="387"/>
    <n v="5"/>
    <n v="23.25"/>
    <x v="1"/>
    <x v="0"/>
    <x v="3"/>
    <d v="2026-04-13T14:02:18"/>
  </r>
  <r>
    <n v="180"/>
    <x v="19"/>
    <x v="11"/>
    <x v="3"/>
    <n v="484"/>
    <n v="5.4"/>
    <n v="5.71"/>
    <x v="0"/>
    <x v="5"/>
    <x v="3"/>
    <d v="2026-04-13T14:02:42"/>
  </r>
  <r>
    <n v="181"/>
    <x v="0"/>
    <x v="0"/>
    <x v="0"/>
    <n v="343"/>
    <n v="5.9"/>
    <n v="10.96"/>
    <x v="0"/>
    <x v="4"/>
    <x v="3"/>
    <d v="2026-04-13T14:18:08"/>
  </r>
  <r>
    <n v="182"/>
    <x v="1"/>
    <x v="1"/>
    <x v="1"/>
    <n v="251"/>
    <n v="4"/>
    <n v="18.309999999999999"/>
    <x v="0"/>
    <x v="6"/>
    <x v="3"/>
    <d v="2026-04-13T14:18:19"/>
  </r>
  <r>
    <n v="183"/>
    <x v="2"/>
    <x v="1"/>
    <x v="1"/>
    <n v="338"/>
    <n v="2.9"/>
    <n v="8.52"/>
    <x v="0"/>
    <x v="14"/>
    <x v="3"/>
    <d v="2026-04-13T14:18:25"/>
  </r>
  <r>
    <n v="184"/>
    <x v="3"/>
    <x v="2"/>
    <x v="2"/>
    <n v="271"/>
    <n v="5.7"/>
    <n v="9.69"/>
    <x v="0"/>
    <x v="1"/>
    <x v="3"/>
    <d v="2026-04-13T14:18:36"/>
  </r>
  <r>
    <n v="185"/>
    <x v="4"/>
    <x v="3"/>
    <x v="0"/>
    <n v="448"/>
    <n v="3.2"/>
    <n v="8.66"/>
    <x v="0"/>
    <x v="11"/>
    <x v="3"/>
    <d v="2026-04-13T14:19:00"/>
  </r>
  <r>
    <n v="186"/>
    <x v="5"/>
    <x v="4"/>
    <x v="3"/>
    <n v="164"/>
    <n v="6.6"/>
    <n v="15.53"/>
    <x v="0"/>
    <x v="11"/>
    <x v="3"/>
    <d v="2026-04-13T14:19:14"/>
  </r>
  <r>
    <n v="187"/>
    <x v="6"/>
    <x v="5"/>
    <x v="4"/>
    <n v="252"/>
    <n v="1.9"/>
    <n v="5.46"/>
    <x v="0"/>
    <x v="17"/>
    <x v="3"/>
    <d v="2026-04-13T14:19:35"/>
  </r>
  <r>
    <n v="188"/>
    <x v="7"/>
    <x v="6"/>
    <x v="5"/>
    <n v="227"/>
    <n v="5.7"/>
    <n v="16.079999999999998"/>
    <x v="0"/>
    <x v="5"/>
    <x v="3"/>
    <d v="2026-04-13T14:19:44"/>
  </r>
  <r>
    <n v="189"/>
    <x v="8"/>
    <x v="7"/>
    <x v="6"/>
    <n v="189"/>
    <n v="3.1"/>
    <n v="13.18"/>
    <x v="0"/>
    <x v="15"/>
    <x v="3"/>
    <d v="2026-04-13T14:20:08"/>
  </r>
  <r>
    <n v="190"/>
    <x v="9"/>
    <x v="8"/>
    <x v="1"/>
    <n v="112"/>
    <n v="3.3"/>
    <n v="24.73"/>
    <x v="0"/>
    <x v="9"/>
    <x v="3"/>
    <d v="2026-04-13T14:20:26"/>
  </r>
  <r>
    <n v="191"/>
    <x v="10"/>
    <x v="9"/>
    <x v="0"/>
    <n v="495"/>
    <n v="4.3"/>
    <n v="19.71"/>
    <x v="0"/>
    <x v="15"/>
    <x v="3"/>
    <d v="2026-04-13T14:20:35"/>
  </r>
  <r>
    <n v="192"/>
    <x v="11"/>
    <x v="10"/>
    <x v="3"/>
    <n v="471"/>
    <n v="4.5999999999999996"/>
    <n v="24.86"/>
    <x v="0"/>
    <x v="12"/>
    <x v="3"/>
    <d v="2026-04-13T14:20:50"/>
  </r>
  <r>
    <n v="193"/>
    <x v="12"/>
    <x v="11"/>
    <x v="3"/>
    <n v="349"/>
    <n v="3.7"/>
    <n v="10.3"/>
    <x v="0"/>
    <x v="3"/>
    <x v="3"/>
    <d v="2026-04-13T14:21:13"/>
  </r>
  <r>
    <n v="194"/>
    <x v="13"/>
    <x v="12"/>
    <x v="2"/>
    <n v="367"/>
    <n v="2.5"/>
    <n v="21.67"/>
    <x v="0"/>
    <x v="13"/>
    <x v="3"/>
    <d v="2026-04-13T14:21:33"/>
  </r>
  <r>
    <n v="195"/>
    <x v="14"/>
    <x v="13"/>
    <x v="0"/>
    <n v="261"/>
    <n v="3.8"/>
    <n v="20.2"/>
    <x v="0"/>
    <x v="5"/>
    <x v="3"/>
    <d v="2026-04-13T14:21:58"/>
  </r>
  <r>
    <n v="196"/>
    <x v="15"/>
    <x v="14"/>
    <x v="0"/>
    <n v="356"/>
    <n v="4"/>
    <n v="7.4"/>
    <x v="0"/>
    <x v="15"/>
    <x v="3"/>
    <d v="2026-04-13T14:22:06"/>
  </r>
  <r>
    <n v="197"/>
    <x v="16"/>
    <x v="15"/>
    <x v="0"/>
    <n v="476"/>
    <n v="5.6"/>
    <n v="17.41"/>
    <x v="0"/>
    <x v="16"/>
    <x v="3"/>
    <d v="2026-04-13T14:22:12"/>
  </r>
  <r>
    <n v="198"/>
    <x v="17"/>
    <x v="11"/>
    <x v="3"/>
    <n v="169"/>
    <n v="3.8"/>
    <n v="12.71"/>
    <x v="0"/>
    <x v="7"/>
    <x v="3"/>
    <d v="2026-04-13T14:22:36"/>
  </r>
  <r>
    <n v="199"/>
    <x v="18"/>
    <x v="5"/>
    <x v="4"/>
    <n v="397"/>
    <n v="6.2"/>
    <n v="19.05"/>
    <x v="0"/>
    <x v="1"/>
    <x v="3"/>
    <d v="2026-04-13T14:22:46"/>
  </r>
  <r>
    <n v="200"/>
    <x v="19"/>
    <x v="11"/>
    <x v="3"/>
    <n v="151"/>
    <n v="6"/>
    <n v="14.87"/>
    <x v="0"/>
    <x v="11"/>
    <x v="3"/>
    <d v="2026-04-13T14:23:11"/>
  </r>
  <r>
    <n v="201"/>
    <x v="0"/>
    <x v="0"/>
    <x v="0"/>
    <n v="151"/>
    <n v="5.4"/>
    <n v="17.84"/>
    <x v="0"/>
    <x v="4"/>
    <x v="4"/>
    <d v="2026-04-16T15:59:28"/>
  </r>
  <r>
    <n v="202"/>
    <x v="1"/>
    <x v="1"/>
    <x v="1"/>
    <n v="218"/>
    <n v="4.4000000000000004"/>
    <n v="8.35"/>
    <x v="0"/>
    <x v="19"/>
    <x v="4"/>
    <d v="2026-04-16T15:59:48"/>
  </r>
  <r>
    <n v="203"/>
    <x v="2"/>
    <x v="1"/>
    <x v="1"/>
    <n v="227"/>
    <n v="5"/>
    <n v="5.82"/>
    <x v="0"/>
    <x v="0"/>
    <x v="4"/>
    <d v="2026-04-16T15:59:58"/>
  </r>
  <r>
    <n v="204"/>
    <x v="3"/>
    <x v="2"/>
    <x v="2"/>
    <n v="410"/>
    <n v="3.3"/>
    <n v="19.899999999999999"/>
    <x v="0"/>
    <x v="6"/>
    <x v="4"/>
    <d v="2026-04-16T16:00:04"/>
  </r>
  <r>
    <n v="205"/>
    <x v="4"/>
    <x v="3"/>
    <x v="0"/>
    <n v="293"/>
    <n v="6.5"/>
    <n v="14.83"/>
    <x v="1"/>
    <x v="18"/>
    <x v="4"/>
    <d v="2026-04-16T16:00:16"/>
  </r>
  <r>
    <n v="206"/>
    <x v="5"/>
    <x v="4"/>
    <x v="3"/>
    <n v="469"/>
    <n v="6.4"/>
    <n v="17.53"/>
    <x v="0"/>
    <x v="14"/>
    <x v="4"/>
    <d v="2026-04-16T16:00:25"/>
  </r>
  <r>
    <n v="207"/>
    <x v="6"/>
    <x v="5"/>
    <x v="4"/>
    <n v="279"/>
    <n v="4.9000000000000004"/>
    <n v="21.55"/>
    <x v="0"/>
    <x v="15"/>
    <x v="4"/>
    <d v="2026-04-16T16:00:46"/>
  </r>
  <r>
    <n v="208"/>
    <x v="7"/>
    <x v="6"/>
    <x v="5"/>
    <n v="179"/>
    <n v="2.4"/>
    <n v="24.16"/>
    <x v="0"/>
    <x v="20"/>
    <x v="4"/>
    <d v="2026-04-16T16:00:59"/>
  </r>
  <r>
    <n v="209"/>
    <x v="8"/>
    <x v="7"/>
    <x v="6"/>
    <n v="107"/>
    <n v="6.4"/>
    <n v="13.48"/>
    <x v="0"/>
    <x v="19"/>
    <x v="4"/>
    <d v="2026-04-16T16:01:23"/>
  </r>
  <r>
    <n v="210"/>
    <x v="9"/>
    <x v="8"/>
    <x v="1"/>
    <n v="495"/>
    <n v="2.9"/>
    <n v="18.87"/>
    <x v="0"/>
    <x v="5"/>
    <x v="4"/>
    <d v="2026-04-16T16:01:38"/>
  </r>
  <r>
    <n v="211"/>
    <x v="10"/>
    <x v="9"/>
    <x v="0"/>
    <n v="136"/>
    <n v="1.6"/>
    <n v="13.45"/>
    <x v="1"/>
    <x v="2"/>
    <x v="4"/>
    <d v="2026-04-16T16:01:57"/>
  </r>
  <r>
    <n v="212"/>
    <x v="11"/>
    <x v="10"/>
    <x v="3"/>
    <n v="186"/>
    <n v="5.7"/>
    <n v="7.66"/>
    <x v="0"/>
    <x v="8"/>
    <x v="4"/>
    <d v="2026-04-16T16:02:10"/>
  </r>
  <r>
    <n v="213"/>
    <x v="12"/>
    <x v="11"/>
    <x v="3"/>
    <n v="307"/>
    <n v="5.5"/>
    <n v="19.75"/>
    <x v="1"/>
    <x v="6"/>
    <x v="4"/>
    <d v="2026-04-16T16:02:19"/>
  </r>
  <r>
    <n v="214"/>
    <x v="13"/>
    <x v="12"/>
    <x v="2"/>
    <n v="405"/>
    <n v="5.5"/>
    <n v="15.36"/>
    <x v="0"/>
    <x v="9"/>
    <x v="4"/>
    <d v="2026-04-16T16:02:27"/>
  </r>
  <r>
    <n v="215"/>
    <x v="14"/>
    <x v="13"/>
    <x v="0"/>
    <n v="274"/>
    <n v="2.2999999999999998"/>
    <n v="16.420000000000002"/>
    <x v="0"/>
    <x v="10"/>
    <x v="4"/>
    <d v="2026-04-16T16:02:35"/>
  </r>
  <r>
    <n v="216"/>
    <x v="15"/>
    <x v="14"/>
    <x v="0"/>
    <n v="348"/>
    <n v="6.1"/>
    <n v="13.12"/>
    <x v="0"/>
    <x v="9"/>
    <x v="4"/>
    <d v="2026-04-16T16:02:54"/>
  </r>
  <r>
    <n v="217"/>
    <x v="16"/>
    <x v="15"/>
    <x v="0"/>
    <n v="144"/>
    <n v="4.3"/>
    <n v="6.48"/>
    <x v="0"/>
    <x v="5"/>
    <x v="4"/>
    <d v="2026-04-16T16:03:17"/>
  </r>
  <r>
    <n v="218"/>
    <x v="17"/>
    <x v="11"/>
    <x v="3"/>
    <n v="375"/>
    <n v="5.9"/>
    <n v="16.32"/>
    <x v="0"/>
    <x v="6"/>
    <x v="4"/>
    <d v="2026-04-16T16:03:36"/>
  </r>
  <r>
    <n v="219"/>
    <x v="18"/>
    <x v="5"/>
    <x v="4"/>
    <n v="336"/>
    <n v="2.6"/>
    <n v="14.03"/>
    <x v="0"/>
    <x v="20"/>
    <x v="4"/>
    <d v="2026-04-16T16:04:00"/>
  </r>
  <r>
    <n v="220"/>
    <x v="19"/>
    <x v="11"/>
    <x v="3"/>
    <n v="119"/>
    <n v="5.5"/>
    <n v="11"/>
    <x v="0"/>
    <x v="12"/>
    <x v="4"/>
    <d v="2026-04-16T16:04:19"/>
  </r>
  <r>
    <n v="221"/>
    <x v="0"/>
    <x v="0"/>
    <x v="0"/>
    <n v="183"/>
    <n v="5.8"/>
    <n v="23.16"/>
    <x v="0"/>
    <x v="8"/>
    <x v="4"/>
    <d v="2026-04-16T16:04:33"/>
  </r>
  <r>
    <n v="222"/>
    <x v="1"/>
    <x v="1"/>
    <x v="1"/>
    <n v="367"/>
    <n v="5.2"/>
    <n v="11.76"/>
    <x v="0"/>
    <x v="19"/>
    <x v="4"/>
    <d v="2026-04-16T16:04:39"/>
  </r>
  <r>
    <n v="223"/>
    <x v="2"/>
    <x v="1"/>
    <x v="1"/>
    <n v="296"/>
    <n v="5.9"/>
    <n v="6.33"/>
    <x v="0"/>
    <x v="12"/>
    <x v="4"/>
    <d v="2026-04-16T16:04:52"/>
  </r>
  <r>
    <n v="224"/>
    <x v="3"/>
    <x v="2"/>
    <x v="2"/>
    <n v="188"/>
    <n v="5.4"/>
    <n v="17.29"/>
    <x v="0"/>
    <x v="14"/>
    <x v="4"/>
    <d v="2026-04-16T16:04:59"/>
  </r>
  <r>
    <n v="225"/>
    <x v="4"/>
    <x v="3"/>
    <x v="0"/>
    <n v="320"/>
    <n v="5.6"/>
    <n v="15.91"/>
    <x v="0"/>
    <x v="10"/>
    <x v="4"/>
    <d v="2026-04-16T16:05:14"/>
  </r>
  <r>
    <n v="226"/>
    <x v="5"/>
    <x v="4"/>
    <x v="3"/>
    <n v="166"/>
    <n v="3.5"/>
    <n v="14.91"/>
    <x v="1"/>
    <x v="1"/>
    <x v="4"/>
    <d v="2026-04-16T16:05:23"/>
  </r>
  <r>
    <n v="227"/>
    <x v="6"/>
    <x v="5"/>
    <x v="4"/>
    <n v="423"/>
    <n v="3.7"/>
    <n v="10.71"/>
    <x v="1"/>
    <x v="20"/>
    <x v="4"/>
    <d v="2026-04-16T16:05:38"/>
  </r>
  <r>
    <n v="228"/>
    <x v="7"/>
    <x v="6"/>
    <x v="5"/>
    <n v="232"/>
    <n v="5.2"/>
    <n v="21.01"/>
    <x v="0"/>
    <x v="10"/>
    <x v="4"/>
    <d v="2026-04-16T16:06:00"/>
  </r>
  <r>
    <n v="229"/>
    <x v="8"/>
    <x v="7"/>
    <x v="6"/>
    <n v="211"/>
    <n v="3.7"/>
    <n v="9.49"/>
    <x v="1"/>
    <x v="5"/>
    <x v="4"/>
    <d v="2026-04-16T16:06:20"/>
  </r>
  <r>
    <n v="230"/>
    <x v="9"/>
    <x v="8"/>
    <x v="1"/>
    <n v="465"/>
    <n v="5"/>
    <n v="20.25"/>
    <x v="0"/>
    <x v="8"/>
    <x v="4"/>
    <d v="2026-04-16T16:06:35"/>
  </r>
  <r>
    <n v="231"/>
    <x v="10"/>
    <x v="9"/>
    <x v="0"/>
    <n v="123"/>
    <n v="3.8"/>
    <n v="11.37"/>
    <x v="0"/>
    <x v="8"/>
    <x v="4"/>
    <d v="2026-04-16T16:06:41"/>
  </r>
  <r>
    <n v="232"/>
    <x v="11"/>
    <x v="10"/>
    <x v="3"/>
    <n v="398"/>
    <n v="4.9000000000000004"/>
    <n v="11.32"/>
    <x v="0"/>
    <x v="6"/>
    <x v="4"/>
    <d v="2026-04-16T16:07:02"/>
  </r>
  <r>
    <n v="233"/>
    <x v="12"/>
    <x v="11"/>
    <x v="3"/>
    <n v="439"/>
    <n v="5.6"/>
    <n v="17.87"/>
    <x v="0"/>
    <x v="3"/>
    <x v="4"/>
    <d v="2026-04-16T16:07:10"/>
  </r>
  <r>
    <n v="234"/>
    <x v="13"/>
    <x v="12"/>
    <x v="2"/>
    <n v="379"/>
    <n v="3.4"/>
    <n v="22.88"/>
    <x v="0"/>
    <x v="5"/>
    <x v="4"/>
    <d v="2026-04-16T16:07:25"/>
  </r>
  <r>
    <n v="235"/>
    <x v="14"/>
    <x v="13"/>
    <x v="0"/>
    <n v="333"/>
    <n v="4"/>
    <n v="10.89"/>
    <x v="1"/>
    <x v="19"/>
    <x v="4"/>
    <d v="2026-04-16T16:07:47"/>
  </r>
  <r>
    <n v="236"/>
    <x v="15"/>
    <x v="14"/>
    <x v="0"/>
    <n v="129"/>
    <n v="2.5"/>
    <n v="17.579999999999998"/>
    <x v="0"/>
    <x v="20"/>
    <x v="4"/>
    <d v="2026-04-16T16:08:10"/>
  </r>
  <r>
    <n v="237"/>
    <x v="16"/>
    <x v="15"/>
    <x v="0"/>
    <n v="367"/>
    <n v="3.9"/>
    <n v="15.87"/>
    <x v="0"/>
    <x v="14"/>
    <x v="4"/>
    <d v="2026-04-16T16:08:27"/>
  </r>
  <r>
    <n v="238"/>
    <x v="17"/>
    <x v="11"/>
    <x v="3"/>
    <n v="471"/>
    <n v="3.5"/>
    <n v="9.66"/>
    <x v="0"/>
    <x v="14"/>
    <x v="4"/>
    <d v="2026-04-16T16:08:49"/>
  </r>
  <r>
    <n v="239"/>
    <x v="18"/>
    <x v="5"/>
    <x v="4"/>
    <n v="204"/>
    <n v="1.7"/>
    <n v="11.19"/>
    <x v="1"/>
    <x v="5"/>
    <x v="4"/>
    <d v="2026-04-16T16:08:58"/>
  </r>
  <r>
    <n v="240"/>
    <x v="19"/>
    <x v="11"/>
    <x v="3"/>
    <n v="269"/>
    <n v="4.9000000000000004"/>
    <n v="12.28"/>
    <x v="0"/>
    <x v="9"/>
    <x v="4"/>
    <d v="2026-04-16T16:09:19"/>
  </r>
  <r>
    <n v="241"/>
    <x v="0"/>
    <x v="0"/>
    <x v="0"/>
    <n v="150"/>
    <n v="3.2"/>
    <n v="22.64"/>
    <x v="0"/>
    <x v="1"/>
    <x v="4"/>
    <d v="2026-04-16T16:28:28"/>
  </r>
  <r>
    <n v="242"/>
    <x v="1"/>
    <x v="1"/>
    <x v="1"/>
    <n v="113"/>
    <n v="2.7"/>
    <n v="10.210000000000001"/>
    <x v="0"/>
    <x v="8"/>
    <x v="4"/>
    <d v="2026-04-16T16:28:34"/>
  </r>
  <r>
    <n v="243"/>
    <x v="2"/>
    <x v="1"/>
    <x v="1"/>
    <n v="452"/>
    <n v="5.0999999999999996"/>
    <n v="19.440000000000001"/>
    <x v="0"/>
    <x v="14"/>
    <x v="4"/>
    <d v="2026-04-16T16:28:58"/>
  </r>
  <r>
    <n v="244"/>
    <x v="3"/>
    <x v="2"/>
    <x v="2"/>
    <n v="438"/>
    <n v="5.0999999999999996"/>
    <n v="11.59"/>
    <x v="0"/>
    <x v="2"/>
    <x v="4"/>
    <d v="2026-04-16T16:29:07"/>
  </r>
  <r>
    <n v="245"/>
    <x v="4"/>
    <x v="3"/>
    <x v="0"/>
    <n v="376"/>
    <n v="3.4"/>
    <n v="7.06"/>
    <x v="0"/>
    <x v="0"/>
    <x v="4"/>
    <d v="2026-04-16T16:29:23"/>
  </r>
  <r>
    <n v="246"/>
    <x v="5"/>
    <x v="4"/>
    <x v="3"/>
    <n v="370"/>
    <n v="3.7"/>
    <n v="13.92"/>
    <x v="0"/>
    <x v="11"/>
    <x v="4"/>
    <d v="2026-04-16T16:29:45"/>
  </r>
  <r>
    <n v="247"/>
    <x v="6"/>
    <x v="5"/>
    <x v="4"/>
    <n v="399"/>
    <n v="4.5999999999999996"/>
    <n v="15.66"/>
    <x v="0"/>
    <x v="17"/>
    <x v="4"/>
    <d v="2026-04-16T16:30:05"/>
  </r>
  <r>
    <n v="248"/>
    <x v="7"/>
    <x v="6"/>
    <x v="5"/>
    <n v="440"/>
    <n v="4.9000000000000004"/>
    <n v="24.69"/>
    <x v="0"/>
    <x v="7"/>
    <x v="4"/>
    <d v="2026-04-16T16:30:24"/>
  </r>
  <r>
    <n v="249"/>
    <x v="8"/>
    <x v="7"/>
    <x v="6"/>
    <n v="457"/>
    <n v="6.4"/>
    <n v="19.64"/>
    <x v="0"/>
    <x v="15"/>
    <x v="4"/>
    <d v="2026-04-16T16:30:43"/>
  </r>
  <r>
    <n v="250"/>
    <x v="9"/>
    <x v="8"/>
    <x v="1"/>
    <n v="153"/>
    <n v="4.0999999999999996"/>
    <n v="10.4"/>
    <x v="0"/>
    <x v="20"/>
    <x v="4"/>
    <d v="2026-04-16T16:31:04"/>
  </r>
  <r>
    <n v="251"/>
    <x v="10"/>
    <x v="9"/>
    <x v="0"/>
    <n v="114"/>
    <n v="5.9"/>
    <n v="20.95"/>
    <x v="0"/>
    <x v="11"/>
    <x v="4"/>
    <d v="2026-04-16T16:31:26"/>
  </r>
  <r>
    <n v="252"/>
    <x v="11"/>
    <x v="10"/>
    <x v="3"/>
    <n v="258"/>
    <n v="2.6"/>
    <n v="15.63"/>
    <x v="0"/>
    <x v="14"/>
    <x v="4"/>
    <d v="2026-04-16T16:31:38"/>
  </r>
  <r>
    <n v="253"/>
    <x v="12"/>
    <x v="11"/>
    <x v="3"/>
    <n v="437"/>
    <n v="6.7"/>
    <n v="19.149999999999999"/>
    <x v="0"/>
    <x v="16"/>
    <x v="4"/>
    <d v="2026-04-16T16:31:44"/>
  </r>
  <r>
    <n v="254"/>
    <x v="13"/>
    <x v="12"/>
    <x v="2"/>
    <n v="357"/>
    <n v="4.9000000000000004"/>
    <n v="9.32"/>
    <x v="0"/>
    <x v="6"/>
    <x v="4"/>
    <d v="2026-04-16T16:32:09"/>
  </r>
  <r>
    <n v="255"/>
    <x v="14"/>
    <x v="13"/>
    <x v="0"/>
    <n v="170"/>
    <n v="6.1"/>
    <n v="17.260000000000002"/>
    <x v="0"/>
    <x v="15"/>
    <x v="4"/>
    <d v="2026-04-16T16:32:26"/>
  </r>
  <r>
    <n v="256"/>
    <x v="15"/>
    <x v="14"/>
    <x v="0"/>
    <n v="251"/>
    <n v="5.4"/>
    <n v="9.7200000000000006"/>
    <x v="0"/>
    <x v="2"/>
    <x v="4"/>
    <d v="2026-04-16T16:32:45"/>
  </r>
  <r>
    <n v="257"/>
    <x v="16"/>
    <x v="15"/>
    <x v="0"/>
    <n v="153"/>
    <n v="4.0999999999999996"/>
    <n v="24.26"/>
    <x v="0"/>
    <x v="15"/>
    <x v="4"/>
    <d v="2026-04-16T16:32:58"/>
  </r>
  <r>
    <n v="258"/>
    <x v="17"/>
    <x v="11"/>
    <x v="3"/>
    <n v="239"/>
    <n v="3.5"/>
    <n v="17.91"/>
    <x v="0"/>
    <x v="2"/>
    <x v="4"/>
    <d v="2026-04-16T16:33:10"/>
  </r>
  <r>
    <n v="259"/>
    <x v="18"/>
    <x v="5"/>
    <x v="4"/>
    <n v="441"/>
    <n v="3.9"/>
    <n v="15.93"/>
    <x v="0"/>
    <x v="20"/>
    <x v="4"/>
    <d v="2026-04-16T16:33:23"/>
  </r>
  <r>
    <n v="260"/>
    <x v="19"/>
    <x v="11"/>
    <x v="3"/>
    <n v="155"/>
    <n v="7"/>
    <n v="8.4499999999999993"/>
    <x v="0"/>
    <x v="0"/>
    <x v="4"/>
    <d v="2026-04-16T16:33:28"/>
  </r>
  <r>
    <n v="261"/>
    <x v="0"/>
    <x v="0"/>
    <x v="0"/>
    <n v="224"/>
    <n v="1.6"/>
    <n v="5.5"/>
    <x v="0"/>
    <x v="10"/>
    <x v="5"/>
    <d v="2026-07-05T11:07:32"/>
  </r>
  <r>
    <n v="262"/>
    <x v="1"/>
    <x v="1"/>
    <x v="1"/>
    <n v="141"/>
    <n v="3.8"/>
    <n v="23.14"/>
    <x v="0"/>
    <x v="11"/>
    <x v="5"/>
    <d v="2026-07-05T11:07:51"/>
  </r>
  <r>
    <n v="263"/>
    <x v="2"/>
    <x v="1"/>
    <x v="1"/>
    <n v="453"/>
    <n v="1.7"/>
    <n v="10.130000000000001"/>
    <x v="0"/>
    <x v="12"/>
    <x v="5"/>
    <d v="2026-07-05T11:07:56"/>
  </r>
  <r>
    <n v="264"/>
    <x v="3"/>
    <x v="2"/>
    <x v="2"/>
    <n v="172"/>
    <n v="5.4"/>
    <n v="15.55"/>
    <x v="0"/>
    <x v="0"/>
    <x v="5"/>
    <d v="2026-07-05T11:08:08"/>
  </r>
  <r>
    <n v="265"/>
    <x v="4"/>
    <x v="3"/>
    <x v="0"/>
    <n v="426"/>
    <n v="5.6"/>
    <n v="6.93"/>
    <x v="0"/>
    <x v="6"/>
    <x v="5"/>
    <d v="2026-07-05T11:08:24"/>
  </r>
  <r>
    <n v="266"/>
    <x v="5"/>
    <x v="4"/>
    <x v="3"/>
    <n v="207"/>
    <n v="5"/>
    <n v="17.29"/>
    <x v="0"/>
    <x v="14"/>
    <x v="5"/>
    <d v="2026-07-05T11:08:35"/>
  </r>
  <r>
    <n v="267"/>
    <x v="6"/>
    <x v="5"/>
    <x v="4"/>
    <n v="260"/>
    <n v="3.5"/>
    <n v="13.26"/>
    <x v="0"/>
    <x v="9"/>
    <x v="5"/>
    <d v="2026-07-05T11:08:57"/>
  </r>
  <r>
    <n v="268"/>
    <x v="7"/>
    <x v="6"/>
    <x v="5"/>
    <n v="195"/>
    <n v="7"/>
    <n v="22.92"/>
    <x v="0"/>
    <x v="10"/>
    <x v="5"/>
    <d v="2026-07-05T11:09:05"/>
  </r>
  <r>
    <n v="269"/>
    <x v="8"/>
    <x v="7"/>
    <x v="6"/>
    <n v="468"/>
    <n v="6.5"/>
    <n v="20.03"/>
    <x v="0"/>
    <x v="16"/>
    <x v="5"/>
    <d v="2026-07-05T11:09:20"/>
  </r>
  <r>
    <n v="270"/>
    <x v="9"/>
    <x v="8"/>
    <x v="1"/>
    <n v="443"/>
    <n v="5.3"/>
    <n v="16.5"/>
    <x v="0"/>
    <x v="10"/>
    <x v="5"/>
    <d v="2026-07-05T11:09:37"/>
  </r>
  <r>
    <n v="271"/>
    <x v="10"/>
    <x v="9"/>
    <x v="0"/>
    <n v="297"/>
    <n v="6.6"/>
    <n v="9.39"/>
    <x v="0"/>
    <x v="10"/>
    <x v="5"/>
    <d v="2026-07-05T11:09:50"/>
  </r>
  <r>
    <n v="272"/>
    <x v="11"/>
    <x v="10"/>
    <x v="3"/>
    <n v="279"/>
    <n v="4.7"/>
    <n v="13.72"/>
    <x v="0"/>
    <x v="5"/>
    <x v="5"/>
    <d v="2026-07-05T11:10:14"/>
  </r>
  <r>
    <n v="273"/>
    <x v="12"/>
    <x v="11"/>
    <x v="3"/>
    <n v="481"/>
    <n v="6.9"/>
    <n v="21.71"/>
    <x v="0"/>
    <x v="15"/>
    <x v="5"/>
    <d v="2026-07-05T11:10:36"/>
  </r>
  <r>
    <n v="274"/>
    <x v="13"/>
    <x v="12"/>
    <x v="2"/>
    <n v="413"/>
    <n v="7"/>
    <n v="21.03"/>
    <x v="1"/>
    <x v="7"/>
    <x v="5"/>
    <d v="2026-07-05T11:11:00"/>
  </r>
  <r>
    <n v="275"/>
    <x v="14"/>
    <x v="13"/>
    <x v="0"/>
    <n v="213"/>
    <n v="2.7"/>
    <n v="17.309999999999999"/>
    <x v="0"/>
    <x v="2"/>
    <x v="5"/>
    <d v="2026-07-05T11:11:22"/>
  </r>
  <r>
    <n v="276"/>
    <x v="15"/>
    <x v="14"/>
    <x v="0"/>
    <n v="338"/>
    <n v="6"/>
    <n v="21.51"/>
    <x v="0"/>
    <x v="19"/>
    <x v="5"/>
    <d v="2026-07-05T11:11:29"/>
  </r>
  <r>
    <n v="277"/>
    <x v="16"/>
    <x v="15"/>
    <x v="0"/>
    <n v="325"/>
    <n v="5.8"/>
    <n v="20.59"/>
    <x v="0"/>
    <x v="17"/>
    <x v="5"/>
    <d v="2026-07-05T11:11:42"/>
  </r>
  <r>
    <n v="278"/>
    <x v="17"/>
    <x v="11"/>
    <x v="3"/>
    <n v="401"/>
    <n v="5.2"/>
    <n v="8.44"/>
    <x v="1"/>
    <x v="3"/>
    <x v="5"/>
    <d v="2026-07-05T11:11:58"/>
  </r>
  <r>
    <n v="279"/>
    <x v="18"/>
    <x v="5"/>
    <x v="4"/>
    <n v="125"/>
    <n v="2.2000000000000002"/>
    <n v="22.72"/>
    <x v="0"/>
    <x v="17"/>
    <x v="5"/>
    <d v="2026-07-05T11:12:21"/>
  </r>
  <r>
    <n v="280"/>
    <x v="19"/>
    <x v="11"/>
    <x v="3"/>
    <n v="396"/>
    <n v="2.8"/>
    <n v="20.09"/>
    <x v="0"/>
    <x v="10"/>
    <x v="5"/>
    <d v="2026-07-05T11:12:2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n v="1"/>
    <s v="Donald"/>
    <s v="Alvarez"/>
    <n v="35"/>
    <x v="0"/>
    <x v="0"/>
    <x v="0"/>
    <d v="2026-03-10T22:04:03"/>
  </r>
  <r>
    <n v="2"/>
    <s v="Jennifer"/>
    <s v="Edwards"/>
    <n v="49"/>
    <x v="0"/>
    <x v="1"/>
    <x v="1"/>
    <d v="2026-03-10T22:04:19"/>
  </r>
  <r>
    <n v="3"/>
    <s v="Jeffrey"/>
    <s v="Evans"/>
    <n v="39"/>
    <x v="1"/>
    <x v="2"/>
    <x v="1"/>
    <d v="2026-03-10T22:05:07"/>
  </r>
  <r>
    <n v="4"/>
    <s v="Denise"/>
    <s v="Hall"/>
    <n v="27"/>
    <x v="1"/>
    <x v="0"/>
    <x v="2"/>
    <d v="2026-03-10T22:05:30"/>
  </r>
  <r>
    <n v="5"/>
    <s v="Jacqueline"/>
    <s v="Woods"/>
    <n v="18"/>
    <x v="2"/>
    <x v="0"/>
    <x v="2"/>
    <d v="2026-03-10T22:05:47"/>
  </r>
  <r>
    <n v="6"/>
    <s v="Beth"/>
    <s v="Zuniga"/>
    <n v="39"/>
    <x v="1"/>
    <x v="3"/>
    <x v="3"/>
    <d v="2026-03-10T22:06:27"/>
  </r>
  <r>
    <n v="7"/>
    <s v="Deanna"/>
    <s v="Castillo"/>
    <n v="32"/>
    <x v="1"/>
    <x v="4"/>
    <x v="1"/>
    <d v="2026-03-10T22:06:54"/>
  </r>
  <r>
    <n v="8"/>
    <s v="Teresa"/>
    <s v="Collins"/>
    <n v="29"/>
    <x v="2"/>
    <x v="2"/>
    <x v="4"/>
    <d v="2026-03-10T22:07:29"/>
  </r>
  <r>
    <n v="9"/>
    <s v="Daisy"/>
    <s v="Hunt"/>
    <n v="44"/>
    <x v="0"/>
    <x v="2"/>
    <x v="5"/>
    <d v="2026-03-10T22:08:24"/>
  </r>
  <r>
    <n v="10"/>
    <s v="Todd"/>
    <s v="Reyes"/>
    <n v="29"/>
    <x v="2"/>
    <x v="1"/>
    <x v="6"/>
    <d v="2026-03-10T22:09:17"/>
  </r>
  <r>
    <n v="11"/>
    <s v="Mark"/>
    <s v="Aguilar"/>
    <n v="39"/>
    <x v="2"/>
    <x v="5"/>
    <x v="7"/>
    <d v="2026-03-10T22:10:09"/>
  </r>
  <r>
    <n v="12"/>
    <s v="Lori"/>
    <s v="Bishop"/>
    <n v="69"/>
    <x v="2"/>
    <x v="1"/>
    <x v="7"/>
    <d v="2026-03-10T22:10:49"/>
  </r>
  <r>
    <n v="13"/>
    <s v="Marc"/>
    <s v="Townsend"/>
    <n v="57"/>
    <x v="2"/>
    <x v="0"/>
    <x v="8"/>
    <d v="2026-03-10T22:11:40"/>
  </r>
  <r>
    <n v="14"/>
    <s v="Kenneth"/>
    <s v="Peters"/>
    <n v="31"/>
    <x v="0"/>
    <x v="4"/>
    <x v="9"/>
    <d v="2026-03-10T22:11:52"/>
  </r>
  <r>
    <n v="15"/>
    <s v="Ronald"/>
    <s v="Ortega"/>
    <n v="60"/>
    <x v="0"/>
    <x v="4"/>
    <x v="10"/>
    <d v="2026-03-10T22:12:39"/>
  </r>
  <r>
    <n v="16"/>
    <s v="William"/>
    <s v="George"/>
    <n v="61"/>
    <x v="0"/>
    <x v="0"/>
    <x v="7"/>
    <d v="2026-03-10T22:13:37"/>
  </r>
  <r>
    <n v="17"/>
    <s v="Kenneth"/>
    <s v="Snyder"/>
    <n v="61"/>
    <x v="0"/>
    <x v="3"/>
    <x v="0"/>
    <d v="2026-03-10T22:14:06"/>
  </r>
  <r>
    <n v="18"/>
    <s v="Kim"/>
    <s v="James"/>
    <n v="46"/>
    <x v="1"/>
    <x v="1"/>
    <x v="6"/>
    <d v="2026-03-10T22:14:17"/>
  </r>
  <r>
    <n v="19"/>
    <s v="Frank"/>
    <s v="Salazar"/>
    <n v="37"/>
    <x v="0"/>
    <x v="3"/>
    <x v="11"/>
    <d v="2026-03-10T22:15:02"/>
  </r>
  <r>
    <n v="20"/>
    <s v="Susan"/>
    <s v="Day"/>
    <n v="26"/>
    <x v="1"/>
    <x v="0"/>
    <x v="12"/>
    <d v="2026-03-10T22:15:15"/>
  </r>
  <r>
    <n v="21"/>
    <s v="Tiffany"/>
    <s v="Hall"/>
    <n v="46"/>
    <x v="1"/>
    <x v="0"/>
    <x v="13"/>
    <d v="2026-03-10T22:15:34"/>
  </r>
  <r>
    <n v="22"/>
    <s v="Jose"/>
    <s v="Duarte"/>
    <n v="57"/>
    <x v="1"/>
    <x v="6"/>
    <x v="1"/>
    <d v="2026-03-10T22:16:26"/>
  </r>
  <r>
    <n v="23"/>
    <s v="Anthony"/>
    <s v="Lee"/>
    <n v="62"/>
    <x v="1"/>
    <x v="0"/>
    <x v="14"/>
    <d v="2026-03-10T22:16:45"/>
  </r>
  <r>
    <n v="24"/>
    <s v="William"/>
    <s v="Moore"/>
    <n v="47"/>
    <x v="2"/>
    <x v="4"/>
    <x v="5"/>
    <d v="2026-03-10T22:17:14"/>
  </r>
  <r>
    <n v="25"/>
    <s v="Michael"/>
    <s v="Fuller"/>
    <n v="46"/>
    <x v="1"/>
    <x v="5"/>
    <x v="15"/>
    <d v="2026-03-10T22:18:05"/>
  </r>
  <r>
    <n v="26"/>
    <s v="Jason"/>
    <s v="Davis"/>
    <n v="46"/>
    <x v="2"/>
    <x v="0"/>
    <x v="15"/>
    <d v="2026-03-10T22:18:36"/>
  </r>
  <r>
    <n v="27"/>
    <s v="Dillon"/>
    <s v="Hunt"/>
    <n v="67"/>
    <x v="2"/>
    <x v="5"/>
    <x v="0"/>
    <d v="2026-03-10T22:18:46"/>
  </r>
  <r>
    <n v="28"/>
    <s v="Christopher"/>
    <s v="Dodson"/>
    <n v="35"/>
    <x v="0"/>
    <x v="3"/>
    <x v="6"/>
    <d v="2026-03-10T22:19:35"/>
  </r>
  <r>
    <n v="29"/>
    <s v="Matthew"/>
    <s v="Clark"/>
    <n v="34"/>
    <x v="0"/>
    <x v="2"/>
    <x v="2"/>
    <d v="2026-03-10T22:20:17"/>
  </r>
  <r>
    <n v="30"/>
    <s v="Timothy"/>
    <s v="Moreno"/>
    <n v="41"/>
    <x v="2"/>
    <x v="1"/>
    <x v="10"/>
    <d v="2026-03-10T22:21:09"/>
  </r>
  <r>
    <n v="31"/>
    <s v="Gabriel"/>
    <s v="Harris"/>
    <n v="20"/>
    <x v="2"/>
    <x v="0"/>
    <x v="12"/>
    <d v="2026-03-10T22:21:28"/>
  </r>
  <r>
    <n v="32"/>
    <s v="Joshua"/>
    <s v="Harris"/>
    <n v="53"/>
    <x v="1"/>
    <x v="5"/>
    <x v="15"/>
    <d v="2026-03-10T22:21:49"/>
  </r>
  <r>
    <n v="33"/>
    <s v="Patricia"/>
    <s v="Gonzalez"/>
    <n v="54"/>
    <x v="2"/>
    <x v="5"/>
    <x v="13"/>
    <d v="2026-03-10T22:22:11"/>
  </r>
  <r>
    <n v="34"/>
    <s v="Olivia"/>
    <s v="Spencer"/>
    <n v="20"/>
    <x v="0"/>
    <x v="5"/>
    <x v="1"/>
    <d v="2026-03-10T22:22:51"/>
  </r>
  <r>
    <n v="35"/>
    <s v="Robert"/>
    <s v="Rogers"/>
    <n v="35"/>
    <x v="2"/>
    <x v="1"/>
    <x v="16"/>
    <d v="2026-03-10T22:23:50"/>
  </r>
  <r>
    <n v="36"/>
    <s v="Ashley"/>
    <s v="Hancock"/>
    <n v="70"/>
    <x v="0"/>
    <x v="4"/>
    <x v="16"/>
    <d v="2026-03-10T22:24:13"/>
  </r>
  <r>
    <n v="37"/>
    <s v="Hayley"/>
    <s v="Chambers"/>
    <n v="67"/>
    <x v="1"/>
    <x v="2"/>
    <x v="9"/>
    <d v="2026-03-10T22:25:08"/>
  </r>
  <r>
    <n v="38"/>
    <s v="David"/>
    <s v="Wilkerson"/>
    <n v="33"/>
    <x v="1"/>
    <x v="2"/>
    <x v="11"/>
    <d v="2026-03-10T22:26:08"/>
  </r>
  <r>
    <n v="39"/>
    <s v="Amber"/>
    <s v="Arnold"/>
    <n v="59"/>
    <x v="0"/>
    <x v="5"/>
    <x v="0"/>
    <d v="2026-03-10T22:26:26"/>
  </r>
  <r>
    <n v="40"/>
    <s v="Natalie"/>
    <s v="Ward"/>
    <n v="48"/>
    <x v="2"/>
    <x v="1"/>
    <x v="16"/>
    <d v="2026-03-10T22:27:08"/>
  </r>
  <r>
    <n v="41"/>
    <s v="Maria"/>
    <s v="Orr"/>
    <n v="37"/>
    <x v="1"/>
    <x v="2"/>
    <x v="14"/>
    <d v="2026-03-10T22:27:39"/>
  </r>
  <r>
    <n v="42"/>
    <s v="Karen"/>
    <s v="Miller"/>
    <n v="52"/>
    <x v="0"/>
    <x v="3"/>
    <x v="17"/>
    <d v="2026-03-10T22:28:25"/>
  </r>
  <r>
    <n v="43"/>
    <s v="Dawn"/>
    <s v="Ward"/>
    <n v="38"/>
    <x v="2"/>
    <x v="0"/>
    <x v="13"/>
    <d v="2026-03-10T22:28:38"/>
  </r>
  <r>
    <n v="44"/>
    <s v="Christopher"/>
    <s v="Evans"/>
    <n v="45"/>
    <x v="2"/>
    <x v="5"/>
    <x v="15"/>
    <d v="2026-03-10T22:29:22"/>
  </r>
  <r>
    <n v="45"/>
    <s v="Natalie"/>
    <s v="Bird"/>
    <n v="66"/>
    <x v="0"/>
    <x v="1"/>
    <x v="3"/>
    <d v="2026-03-10T22:30:00"/>
  </r>
  <r>
    <n v="46"/>
    <s v="Brian"/>
    <s v="Mills"/>
    <n v="28"/>
    <x v="2"/>
    <x v="1"/>
    <x v="9"/>
    <d v="2026-03-10T22:30:22"/>
  </r>
  <r>
    <n v="47"/>
    <s v="Mary"/>
    <s v="Russo"/>
    <n v="63"/>
    <x v="1"/>
    <x v="4"/>
    <x v="2"/>
    <d v="2026-03-10T22:30:51"/>
  </r>
  <r>
    <n v="48"/>
    <s v="Christopher"/>
    <s v="Cherry"/>
    <n v="24"/>
    <x v="1"/>
    <x v="5"/>
    <x v="7"/>
    <d v="2026-03-10T22:31:22"/>
  </r>
  <r>
    <n v="49"/>
    <s v="Kelly"/>
    <s v="Dixon"/>
    <n v="55"/>
    <x v="2"/>
    <x v="6"/>
    <x v="6"/>
    <d v="2026-03-10T22:31:51"/>
  </r>
  <r>
    <n v="50"/>
    <s v="David"/>
    <s v="Walls"/>
    <n v="29"/>
    <x v="2"/>
    <x v="3"/>
    <x v="10"/>
    <d v="2026-03-10T22:32:26"/>
  </r>
  <r>
    <n v="51"/>
    <s v="Patrick"/>
    <s v="Gomez"/>
    <n v="54"/>
    <x v="2"/>
    <x v="2"/>
    <x v="9"/>
    <d v="2026-03-10T22:33:20"/>
  </r>
  <r>
    <n v="52"/>
    <s v="Elizabeth"/>
    <s v="Martinez"/>
    <n v="20"/>
    <x v="2"/>
    <x v="0"/>
    <x v="16"/>
    <d v="2026-03-10T22:34:00"/>
  </r>
  <r>
    <n v="53"/>
    <s v="Jacqueline"/>
    <s v="Cook"/>
    <n v="54"/>
    <x v="1"/>
    <x v="6"/>
    <x v="18"/>
    <d v="2026-03-10T22:34:49"/>
  </r>
  <r>
    <n v="54"/>
    <s v="Charles"/>
    <s v="Lewis"/>
    <n v="23"/>
    <x v="0"/>
    <x v="4"/>
    <x v="19"/>
    <d v="2026-03-10T22:35:23"/>
  </r>
  <r>
    <n v="55"/>
    <s v="Amy"/>
    <s v="Smith"/>
    <n v="50"/>
    <x v="2"/>
    <x v="0"/>
    <x v="14"/>
    <d v="2026-03-10T22:35:39"/>
  </r>
  <r>
    <n v="56"/>
    <s v="James"/>
    <s v="Yoder"/>
    <n v="37"/>
    <x v="1"/>
    <x v="5"/>
    <x v="10"/>
    <d v="2026-03-10T22:36:04"/>
  </r>
  <r>
    <n v="57"/>
    <s v="Anthony"/>
    <s v="Riley"/>
    <n v="20"/>
    <x v="0"/>
    <x v="2"/>
    <x v="0"/>
    <d v="2026-03-10T22:36:38"/>
  </r>
  <r>
    <n v="58"/>
    <s v="Deborah"/>
    <s v="Johnson"/>
    <n v="49"/>
    <x v="2"/>
    <x v="2"/>
    <x v="5"/>
    <d v="2026-03-10T22:36:53"/>
  </r>
  <r>
    <n v="59"/>
    <s v="Julie"/>
    <s v="Key"/>
    <n v="59"/>
    <x v="2"/>
    <x v="1"/>
    <x v="9"/>
    <d v="2026-03-10T22:37:29"/>
  </r>
  <r>
    <n v="60"/>
    <s v="Laura"/>
    <s v="Friedman"/>
    <n v="21"/>
    <x v="1"/>
    <x v="5"/>
    <x v="12"/>
    <d v="2026-03-10T22:37:40"/>
  </r>
  <r>
    <n v="61"/>
    <s v="Amy"/>
    <s v="Wilkerson"/>
    <n v="26"/>
    <x v="2"/>
    <x v="2"/>
    <x v="6"/>
    <d v="2026-03-10T22:37:52"/>
  </r>
  <r>
    <n v="62"/>
    <s v="Brandon"/>
    <s v="Murphy"/>
    <n v="52"/>
    <x v="1"/>
    <x v="2"/>
    <x v="13"/>
    <d v="2026-03-10T22:38:20"/>
  </r>
  <r>
    <n v="63"/>
    <s v="Marissa"/>
    <s v="Huynh"/>
    <n v="51"/>
    <x v="0"/>
    <x v="0"/>
    <x v="16"/>
    <d v="2026-03-10T22:39:02"/>
  </r>
  <r>
    <n v="64"/>
    <s v="Mary"/>
    <s v="Baker"/>
    <n v="34"/>
    <x v="1"/>
    <x v="1"/>
    <x v="12"/>
    <d v="2026-03-10T22:39:49"/>
  </r>
  <r>
    <n v="65"/>
    <s v="Travis"/>
    <s v="Powell"/>
    <n v="38"/>
    <x v="1"/>
    <x v="4"/>
    <x v="14"/>
    <d v="2026-03-10T22:40:41"/>
  </r>
  <r>
    <n v="66"/>
    <s v="Daniel"/>
    <s v="Trevino"/>
    <n v="29"/>
    <x v="2"/>
    <x v="0"/>
    <x v="3"/>
    <d v="2026-03-10T22:41:16"/>
  </r>
  <r>
    <n v="67"/>
    <s v="Tabitha"/>
    <s v="Cantu"/>
    <n v="39"/>
    <x v="2"/>
    <x v="1"/>
    <x v="14"/>
    <d v="2026-03-10T22:41:44"/>
  </r>
  <r>
    <n v="68"/>
    <s v="Erik"/>
    <s v="Graves"/>
    <n v="56"/>
    <x v="2"/>
    <x v="1"/>
    <x v="18"/>
    <d v="2026-03-10T22:42:37"/>
  </r>
  <r>
    <n v="69"/>
    <s v="Robert"/>
    <s v="Morgan"/>
    <n v="68"/>
    <x v="1"/>
    <x v="0"/>
    <x v="9"/>
    <d v="2026-03-10T22:43:19"/>
  </r>
  <r>
    <n v="70"/>
    <s v="Brent"/>
    <s v="Frye"/>
    <n v="25"/>
    <x v="0"/>
    <x v="5"/>
    <x v="1"/>
    <d v="2026-03-10T22:44:17"/>
  </r>
  <r>
    <n v="71"/>
    <s v="Ryan"/>
    <s v="Morrison"/>
    <n v="37"/>
    <x v="2"/>
    <x v="6"/>
    <x v="0"/>
    <d v="2026-03-10T22:45:00"/>
  </r>
  <r>
    <n v="72"/>
    <s v="Misty"/>
    <s v="Weber"/>
    <n v="50"/>
    <x v="2"/>
    <x v="5"/>
    <x v="13"/>
    <d v="2026-03-10T22:45:45"/>
  </r>
  <r>
    <n v="73"/>
    <s v="Juan"/>
    <s v="Cross"/>
    <n v="41"/>
    <x v="2"/>
    <x v="5"/>
    <x v="3"/>
    <d v="2026-03-10T22:46:20"/>
  </r>
  <r>
    <n v="74"/>
    <s v="Gloria"/>
    <s v="Lawrence"/>
    <n v="29"/>
    <x v="1"/>
    <x v="4"/>
    <x v="1"/>
    <d v="2026-03-10T22:47:10"/>
  </r>
  <r>
    <n v="75"/>
    <s v="Zachary"/>
    <s v="Harris"/>
    <n v="63"/>
    <x v="2"/>
    <x v="0"/>
    <x v="18"/>
    <d v="2026-03-10T22:48:06"/>
  </r>
  <r>
    <n v="76"/>
    <s v="Vincent"/>
    <s v="Knox"/>
    <n v="52"/>
    <x v="0"/>
    <x v="1"/>
    <x v="19"/>
    <d v="2026-03-10T22:48:29"/>
  </r>
  <r>
    <n v="77"/>
    <s v="Haley"/>
    <s v="Jones"/>
    <n v="42"/>
    <x v="1"/>
    <x v="6"/>
    <x v="9"/>
    <d v="2026-03-10T22:48:39"/>
  </r>
  <r>
    <n v="78"/>
    <s v="Zachary"/>
    <s v="Lee"/>
    <n v="30"/>
    <x v="1"/>
    <x v="5"/>
    <x v="0"/>
    <d v="2026-03-10T22:49:32"/>
  </r>
  <r>
    <n v="79"/>
    <s v="Sally"/>
    <s v="Scott"/>
    <n v="31"/>
    <x v="0"/>
    <x v="3"/>
    <x v="9"/>
    <d v="2026-03-10T22:49:43"/>
  </r>
  <r>
    <n v="80"/>
    <s v="Adam"/>
    <s v="Lopez"/>
    <n v="59"/>
    <x v="0"/>
    <x v="5"/>
    <x v="19"/>
    <d v="2026-03-10T22:50:30"/>
  </r>
  <r>
    <n v="81"/>
    <s v="Matthew"/>
    <s v="Nguyen"/>
    <n v="34"/>
    <x v="1"/>
    <x v="3"/>
    <x v="13"/>
    <d v="2026-03-10T22:50:44"/>
  </r>
  <r>
    <n v="82"/>
    <s v="Veronica"/>
    <s v="Hardin"/>
    <n v="61"/>
    <x v="1"/>
    <x v="3"/>
    <x v="2"/>
    <d v="2026-03-10T22:51:24"/>
  </r>
  <r>
    <n v="83"/>
    <s v="Jessica"/>
    <s v="Oneal"/>
    <n v="50"/>
    <x v="0"/>
    <x v="4"/>
    <x v="12"/>
    <d v="2026-03-10T22:52:02"/>
  </r>
  <r>
    <n v="84"/>
    <s v="Crystal"/>
    <s v="Rice"/>
    <n v="34"/>
    <x v="0"/>
    <x v="4"/>
    <x v="19"/>
    <d v="2026-03-10T22:52:51"/>
  </r>
  <r>
    <n v="85"/>
    <s v="Jared"/>
    <s v="Caldwell"/>
    <n v="58"/>
    <x v="2"/>
    <x v="4"/>
    <x v="15"/>
    <d v="2026-03-10T22:53:04"/>
  </r>
  <r>
    <n v="86"/>
    <s v="Matthew"/>
    <s v="Reed"/>
    <n v="52"/>
    <x v="2"/>
    <x v="3"/>
    <x v="3"/>
    <d v="2026-03-10T22:53:43"/>
  </r>
  <r>
    <n v="87"/>
    <s v="Matthew"/>
    <s v="Vazquez"/>
    <n v="38"/>
    <x v="0"/>
    <x v="4"/>
    <x v="0"/>
    <d v="2026-03-10T22:54:32"/>
  </r>
  <r>
    <n v="88"/>
    <s v="Lindsay"/>
    <s v="Benson"/>
    <n v="39"/>
    <x v="1"/>
    <x v="2"/>
    <x v="14"/>
    <d v="2026-03-10T22:55:11"/>
  </r>
  <r>
    <n v="89"/>
    <s v="Dana"/>
    <s v="Tucker"/>
    <n v="27"/>
    <x v="0"/>
    <x v="5"/>
    <x v="13"/>
    <d v="2026-03-10T22:55:29"/>
  </r>
  <r>
    <n v="90"/>
    <s v="Lance"/>
    <s v="Sims"/>
    <n v="28"/>
    <x v="0"/>
    <x v="3"/>
    <x v="13"/>
    <d v="2026-03-10T22:56:05"/>
  </r>
  <r>
    <n v="91"/>
    <s v="Thomas"/>
    <s v="Russell"/>
    <n v="64"/>
    <x v="0"/>
    <x v="0"/>
    <x v="6"/>
    <d v="2026-03-10T22:56:33"/>
  </r>
  <r>
    <n v="92"/>
    <s v="Claire"/>
    <s v="Reilly"/>
    <n v="28"/>
    <x v="1"/>
    <x v="3"/>
    <x v="0"/>
    <d v="2026-03-10T22:57:11"/>
  </r>
  <r>
    <n v="93"/>
    <s v="Robyn"/>
    <s v="Thomas"/>
    <n v="37"/>
    <x v="1"/>
    <x v="3"/>
    <x v="15"/>
    <d v="2026-03-10T22:58:05"/>
  </r>
  <r>
    <n v="94"/>
    <s v="Dana"/>
    <s v="Caldwell"/>
    <n v="37"/>
    <x v="2"/>
    <x v="5"/>
    <x v="1"/>
    <d v="2026-03-10T22:58:59"/>
  </r>
  <r>
    <n v="95"/>
    <s v="Kimberly"/>
    <s v="Horne"/>
    <n v="40"/>
    <x v="2"/>
    <x v="3"/>
    <x v="6"/>
    <d v="2026-03-10T22:59:30"/>
  </r>
  <r>
    <n v="96"/>
    <s v="Tammy"/>
    <s v="Moran"/>
    <n v="30"/>
    <x v="0"/>
    <x v="5"/>
    <x v="12"/>
    <d v="2026-03-10T23:00:02"/>
  </r>
  <r>
    <n v="97"/>
    <s v="Tammie"/>
    <s v="Miller"/>
    <n v="67"/>
    <x v="0"/>
    <x v="4"/>
    <x v="11"/>
    <d v="2026-03-10T23:00:28"/>
  </r>
  <r>
    <n v="98"/>
    <s v="Miranda"/>
    <s v="Turner"/>
    <n v="70"/>
    <x v="2"/>
    <x v="4"/>
    <x v="1"/>
    <d v="2026-03-10T23:00:41"/>
  </r>
  <r>
    <n v="99"/>
    <s v="Lisa"/>
    <s v="Nichols"/>
    <n v="68"/>
    <x v="2"/>
    <x v="0"/>
    <x v="17"/>
    <d v="2026-03-10T23:01:32"/>
  </r>
  <r>
    <n v="100"/>
    <s v="Leah"/>
    <s v="Gonzalez"/>
    <n v="27"/>
    <x v="1"/>
    <x v="6"/>
    <x v="3"/>
    <d v="2026-03-10T23:02:03"/>
  </r>
  <r>
    <n v="101"/>
    <s v="Julie"/>
    <s v="Sampson"/>
    <n v="18"/>
    <x v="2"/>
    <x v="3"/>
    <x v="18"/>
    <d v="2026-03-13T16:03:11"/>
  </r>
  <r>
    <n v="102"/>
    <s v="Ricky"/>
    <s v="Thompson"/>
    <n v="44"/>
    <x v="1"/>
    <x v="5"/>
    <x v="2"/>
    <d v="2026-03-13T16:03:53"/>
  </r>
  <r>
    <n v="103"/>
    <s v="Timothy"/>
    <s v="Fernandez"/>
    <n v="49"/>
    <x v="1"/>
    <x v="4"/>
    <x v="0"/>
    <d v="2026-03-13T16:04:46"/>
  </r>
  <r>
    <n v="104"/>
    <s v="Antonio"/>
    <s v="Barker"/>
    <n v="51"/>
    <x v="2"/>
    <x v="1"/>
    <x v="17"/>
    <d v="2026-03-13T16:05:42"/>
  </r>
  <r>
    <n v="105"/>
    <s v="Bonnie"/>
    <s v="Harper"/>
    <n v="18"/>
    <x v="0"/>
    <x v="4"/>
    <x v="10"/>
    <d v="2026-03-13T16:06:27"/>
  </r>
  <r>
    <n v="106"/>
    <s v="Dominic"/>
    <s v="Martinez"/>
    <n v="21"/>
    <x v="2"/>
    <x v="4"/>
    <x v="12"/>
    <d v="2026-03-13T16:06:56"/>
  </r>
  <r>
    <n v="107"/>
    <s v="Troy"/>
    <s v="Thomas"/>
    <n v="66"/>
    <x v="0"/>
    <x v="0"/>
    <x v="6"/>
    <d v="2026-03-13T16:07:40"/>
  </r>
  <r>
    <n v="108"/>
    <s v="Molly"/>
    <s v="Turner"/>
    <n v="18"/>
    <x v="2"/>
    <x v="6"/>
    <x v="0"/>
    <d v="2026-03-13T16:08:35"/>
  </r>
  <r>
    <n v="109"/>
    <s v="Angela"/>
    <s v="Reyes"/>
    <n v="21"/>
    <x v="2"/>
    <x v="3"/>
    <x v="16"/>
    <d v="2026-03-13T16:09:32"/>
  </r>
  <r>
    <n v="110"/>
    <s v="Desiree"/>
    <s v="Martin"/>
    <n v="59"/>
    <x v="1"/>
    <x v="1"/>
    <x v="19"/>
    <d v="2026-03-13T16:10:30"/>
  </r>
  <r>
    <n v="111"/>
    <s v="Jamie"/>
    <s v="Walker"/>
    <n v="19"/>
    <x v="1"/>
    <x v="3"/>
    <x v="18"/>
    <d v="2026-03-13T16:11:18"/>
  </r>
  <r>
    <n v="112"/>
    <s v="Mark"/>
    <s v="Harrell"/>
    <n v="29"/>
    <x v="1"/>
    <x v="0"/>
    <x v="4"/>
    <d v="2026-03-13T16:12:02"/>
  </r>
  <r>
    <n v="113"/>
    <s v="Jerry"/>
    <s v="Keller"/>
    <n v="61"/>
    <x v="0"/>
    <x v="4"/>
    <x v="16"/>
    <d v="2026-03-13T16:12:36"/>
  </r>
  <r>
    <n v="114"/>
    <s v="Julian"/>
    <s v="Brandt"/>
    <n v="41"/>
    <x v="1"/>
    <x v="0"/>
    <x v="19"/>
    <d v="2026-03-13T16:13:04"/>
  </r>
  <r>
    <n v="115"/>
    <s v="Susan"/>
    <s v="Sparks"/>
    <n v="22"/>
    <x v="2"/>
    <x v="5"/>
    <x v="15"/>
    <d v="2026-03-13T16:13:15"/>
  </r>
  <r>
    <n v="116"/>
    <s v="Susan"/>
    <s v="Evans"/>
    <n v="35"/>
    <x v="0"/>
    <x v="2"/>
    <x v="9"/>
    <d v="2026-03-13T16:14:15"/>
  </r>
  <r>
    <n v="117"/>
    <s v="Melvin"/>
    <s v="Morgan"/>
    <n v="22"/>
    <x v="1"/>
    <x v="3"/>
    <x v="14"/>
    <d v="2026-03-13T16:14:41"/>
  </r>
  <r>
    <n v="118"/>
    <s v="Megan"/>
    <s v="Terry"/>
    <n v="63"/>
    <x v="0"/>
    <x v="6"/>
    <x v="14"/>
    <d v="2026-03-13T16:15:37"/>
  </r>
  <r>
    <n v="119"/>
    <s v="Caroline"/>
    <s v="Vance"/>
    <n v="64"/>
    <x v="0"/>
    <x v="3"/>
    <x v="10"/>
    <d v="2026-03-13T16:16:06"/>
  </r>
  <r>
    <n v="120"/>
    <s v="Tracey"/>
    <s v="Brown"/>
    <n v="41"/>
    <x v="0"/>
    <x v="4"/>
    <x v="3"/>
    <d v="2026-03-13T16:16:44"/>
  </r>
  <r>
    <n v="121"/>
    <s v="Stephen"/>
    <s v="Bennett"/>
    <n v="63"/>
    <x v="2"/>
    <x v="6"/>
    <x v="18"/>
    <d v="2026-03-13T16:17:36"/>
  </r>
  <r>
    <n v="122"/>
    <s v="Lauren"/>
    <s v="Parks"/>
    <n v="42"/>
    <x v="2"/>
    <x v="6"/>
    <x v="3"/>
    <d v="2026-03-13T16:17:48"/>
  </r>
  <r>
    <n v="123"/>
    <s v="Joel"/>
    <s v="Patton"/>
    <n v="60"/>
    <x v="1"/>
    <x v="0"/>
    <x v="9"/>
    <d v="2026-03-13T16:18:47"/>
  </r>
  <r>
    <n v="124"/>
    <s v="Scott"/>
    <s v="Garcia"/>
    <n v="62"/>
    <x v="1"/>
    <x v="3"/>
    <x v="0"/>
    <d v="2026-03-13T16:19:18"/>
  </r>
  <r>
    <n v="125"/>
    <s v="Mary"/>
    <s v="Mullins"/>
    <n v="49"/>
    <x v="2"/>
    <x v="6"/>
    <x v="10"/>
    <d v="2026-03-13T16:19:46"/>
  </r>
  <r>
    <n v="126"/>
    <s v="Justin"/>
    <s v="Murray"/>
    <n v="36"/>
    <x v="2"/>
    <x v="4"/>
    <x v="13"/>
    <d v="2026-03-13T16:20:16"/>
  </r>
  <r>
    <n v="127"/>
    <s v="Catherine"/>
    <s v="Fuller"/>
    <n v="38"/>
    <x v="1"/>
    <x v="1"/>
    <x v="2"/>
    <d v="2026-03-13T16:20:48"/>
  </r>
  <r>
    <n v="128"/>
    <s v="Beverly"/>
    <s v="Lopez"/>
    <n v="49"/>
    <x v="2"/>
    <x v="4"/>
    <x v="8"/>
    <d v="2026-03-13T16:22:28"/>
  </r>
  <r>
    <n v="129"/>
    <s v="Richard"/>
    <s v="Dyer"/>
    <n v="58"/>
    <x v="2"/>
    <x v="5"/>
    <x v="14"/>
    <d v="2026-03-13T16:22:59"/>
  </r>
  <r>
    <n v="130"/>
    <s v="Samuel"/>
    <s v="Lowe"/>
    <n v="63"/>
    <x v="0"/>
    <x v="6"/>
    <x v="10"/>
    <d v="2026-03-13T16:23:57"/>
  </r>
  <r>
    <n v="131"/>
    <s v="Jodi"/>
    <s v="Lane"/>
    <n v="70"/>
    <x v="2"/>
    <x v="1"/>
    <x v="4"/>
    <d v="2026-03-13T16:24:41"/>
  </r>
  <r>
    <n v="132"/>
    <s v="Michael"/>
    <s v="Smith"/>
    <n v="21"/>
    <x v="0"/>
    <x v="2"/>
    <x v="2"/>
    <d v="2026-03-13T16:25:05"/>
  </r>
  <r>
    <n v="133"/>
    <s v="Tyrone"/>
    <s v="Young"/>
    <n v="41"/>
    <x v="2"/>
    <x v="3"/>
    <x v="16"/>
    <d v="2026-03-13T16:25:27"/>
  </r>
  <r>
    <n v="134"/>
    <s v="Steven"/>
    <s v="Chang"/>
    <n v="24"/>
    <x v="0"/>
    <x v="0"/>
    <x v="9"/>
    <d v="2026-03-13T16:26:06"/>
  </r>
  <r>
    <n v="135"/>
    <s v="Donna"/>
    <s v="Prince"/>
    <n v="25"/>
    <x v="2"/>
    <x v="2"/>
    <x v="8"/>
    <d v="2026-03-13T16:26:16"/>
  </r>
  <r>
    <n v="136"/>
    <s v="Joseph"/>
    <s v="Livingston"/>
    <n v="20"/>
    <x v="2"/>
    <x v="4"/>
    <x v="17"/>
    <d v="2026-03-13T16:26:37"/>
  </r>
  <r>
    <n v="137"/>
    <s v="Mitchell"/>
    <s v="Adams"/>
    <n v="22"/>
    <x v="0"/>
    <x v="1"/>
    <x v="11"/>
    <d v="2026-03-13T16:27:11"/>
  </r>
  <r>
    <n v="138"/>
    <s v="Travis"/>
    <s v="Jones"/>
    <n v="32"/>
    <x v="2"/>
    <x v="2"/>
    <x v="10"/>
    <d v="2026-03-13T16:27:27"/>
  </r>
  <r>
    <n v="139"/>
    <s v="Daniel"/>
    <s v="Orozco"/>
    <n v="50"/>
    <x v="1"/>
    <x v="0"/>
    <x v="10"/>
    <d v="2026-03-13T16:28:25"/>
  </r>
  <r>
    <n v="140"/>
    <s v="Sarah"/>
    <s v="Joseph"/>
    <n v="18"/>
    <x v="0"/>
    <x v="1"/>
    <x v="19"/>
    <d v="2026-03-13T16:29:16"/>
  </r>
  <r>
    <n v="141"/>
    <s v="Rebecca"/>
    <s v="Huff"/>
    <n v="61"/>
    <x v="2"/>
    <x v="3"/>
    <x v="18"/>
    <d v="2026-03-13T16:30:10"/>
  </r>
  <r>
    <n v="142"/>
    <s v="John"/>
    <s v="Hall"/>
    <n v="24"/>
    <x v="1"/>
    <x v="3"/>
    <x v="12"/>
    <d v="2026-03-13T16:31:04"/>
  </r>
  <r>
    <n v="143"/>
    <s v="Christopher"/>
    <s v="Johnson"/>
    <n v="47"/>
    <x v="0"/>
    <x v="3"/>
    <x v="13"/>
    <d v="2026-03-13T16:31:42"/>
  </r>
  <r>
    <n v="144"/>
    <s v="Martha"/>
    <s v="Holder"/>
    <n v="40"/>
    <x v="1"/>
    <x v="4"/>
    <x v="1"/>
    <d v="2026-03-13T17:47:43"/>
  </r>
  <r>
    <n v="145"/>
    <s v="Daniel"/>
    <s v="Anderson"/>
    <n v="23"/>
    <x v="2"/>
    <x v="2"/>
    <x v="19"/>
    <d v="2026-03-13T17:48:20"/>
  </r>
  <r>
    <n v="146"/>
    <s v="Julie"/>
    <s v="Davis"/>
    <n v="42"/>
    <x v="0"/>
    <x v="3"/>
    <x v="0"/>
    <d v="2026-03-13T17:49:15"/>
  </r>
  <r>
    <n v="147"/>
    <s v="Rebecca"/>
    <s v="Durham"/>
    <n v="34"/>
    <x v="1"/>
    <x v="4"/>
    <x v="13"/>
    <d v="2026-03-13T17:50:14"/>
  </r>
  <r>
    <n v="148"/>
    <s v="Denise"/>
    <s v="Stephens"/>
    <n v="69"/>
    <x v="2"/>
    <x v="1"/>
    <x v="4"/>
    <d v="2026-03-13T17:50:36"/>
  </r>
  <r>
    <n v="149"/>
    <s v="Victoria"/>
    <s v="Saunders"/>
    <n v="62"/>
    <x v="2"/>
    <x v="2"/>
    <x v="1"/>
    <d v="2026-03-13T17:50:51"/>
  </r>
  <r>
    <n v="150"/>
    <s v="Carol"/>
    <s v="Gilmore"/>
    <n v="67"/>
    <x v="2"/>
    <x v="3"/>
    <x v="4"/>
    <d v="2026-03-13T17:51:03"/>
  </r>
  <r>
    <n v="151"/>
    <s v="Kristy"/>
    <s v="Evans"/>
    <n v="40"/>
    <x v="1"/>
    <x v="5"/>
    <x v="8"/>
    <d v="2026-03-13T17:51:57"/>
  </r>
  <r>
    <n v="152"/>
    <s v="Karen"/>
    <s v="Sandoval"/>
    <n v="47"/>
    <x v="2"/>
    <x v="2"/>
    <x v="18"/>
    <d v="2026-03-13T17:52:12"/>
  </r>
  <r>
    <n v="153"/>
    <s v="Whitney"/>
    <s v="Buckley"/>
    <n v="57"/>
    <x v="0"/>
    <x v="4"/>
    <x v="17"/>
    <d v="2026-03-13T17:53:07"/>
  </r>
  <r>
    <n v="154"/>
    <s v="Mary"/>
    <s v="Mcgee"/>
    <n v="22"/>
    <x v="0"/>
    <x v="0"/>
    <x v="14"/>
    <d v="2026-03-13T17:53:28"/>
  </r>
  <r>
    <n v="155"/>
    <s v="Julie"/>
    <s v="Carpenter"/>
    <n v="57"/>
    <x v="0"/>
    <x v="2"/>
    <x v="17"/>
    <d v="2026-03-13T17:53:39"/>
  </r>
  <r>
    <n v="156"/>
    <s v="Angela"/>
    <s v="Dean"/>
    <n v="43"/>
    <x v="0"/>
    <x v="3"/>
    <x v="15"/>
    <d v="2026-03-13T17:54:20"/>
  </r>
  <r>
    <n v="157"/>
    <s v="Ricardo"/>
    <s v="Whitaker"/>
    <n v="63"/>
    <x v="2"/>
    <x v="5"/>
    <x v="0"/>
    <d v="2026-03-13T17:55:05"/>
  </r>
  <r>
    <n v="158"/>
    <s v="Adam"/>
    <s v="Cortez"/>
    <n v="21"/>
    <x v="1"/>
    <x v="6"/>
    <x v="14"/>
    <d v="2026-03-13T17:55:21"/>
  </r>
  <r>
    <n v="159"/>
    <s v="Kristi"/>
    <s v="Vasquez"/>
    <n v="20"/>
    <x v="2"/>
    <x v="1"/>
    <x v="15"/>
    <d v="2026-03-13T17:55:48"/>
  </r>
  <r>
    <n v="160"/>
    <s v="Dakota"/>
    <s v="Avery"/>
    <n v="31"/>
    <x v="2"/>
    <x v="4"/>
    <x v="9"/>
    <d v="2026-03-13T17:56:00"/>
  </r>
  <r>
    <n v="161"/>
    <s v="Douglas"/>
    <s v="Rush"/>
    <n v="36"/>
    <x v="2"/>
    <x v="3"/>
    <x v="13"/>
    <d v="2026-03-13T17:56:40"/>
  </r>
  <r>
    <n v="162"/>
    <s v="Monica"/>
    <s v="West"/>
    <n v="23"/>
    <x v="0"/>
    <x v="4"/>
    <x v="0"/>
    <d v="2026-03-13T17:57:02"/>
  </r>
  <r>
    <n v="163"/>
    <s v="Patrick"/>
    <s v="Ellis"/>
    <n v="42"/>
    <x v="2"/>
    <x v="1"/>
    <x v="0"/>
    <d v="2026-03-13T17:57:34"/>
  </r>
  <r>
    <n v="164"/>
    <s v="Mark"/>
    <s v="Garcia"/>
    <n v="22"/>
    <x v="0"/>
    <x v="4"/>
    <x v="5"/>
    <d v="2026-03-13T17:57:59"/>
  </r>
  <r>
    <n v="165"/>
    <s v="Thomas"/>
    <s v="Thomas"/>
    <n v="49"/>
    <x v="1"/>
    <x v="4"/>
    <x v="9"/>
    <d v="2026-03-13T17:58:54"/>
  </r>
  <r>
    <n v="166"/>
    <s v="Robert"/>
    <s v="Stewart"/>
    <n v="41"/>
    <x v="0"/>
    <x v="2"/>
    <x v="15"/>
    <d v="2026-03-13T17:59:36"/>
  </r>
  <r>
    <n v="167"/>
    <s v="Monica"/>
    <s v="Parks"/>
    <n v="38"/>
    <x v="0"/>
    <x v="3"/>
    <x v="8"/>
    <d v="2026-03-13T18:00:32"/>
  </r>
  <r>
    <n v="168"/>
    <s v="Karen"/>
    <s v="Riley"/>
    <n v="39"/>
    <x v="0"/>
    <x v="5"/>
    <x v="7"/>
    <d v="2026-03-13T18:00:54"/>
  </r>
  <r>
    <n v="169"/>
    <s v="Brittany"/>
    <s v="Gibbs"/>
    <n v="61"/>
    <x v="2"/>
    <x v="5"/>
    <x v="2"/>
    <d v="2026-03-13T18:01:06"/>
  </r>
  <r>
    <n v="170"/>
    <s v="Kevin"/>
    <s v="Caldwell"/>
    <n v="25"/>
    <x v="2"/>
    <x v="6"/>
    <x v="8"/>
    <d v="2026-03-13T18:01:57"/>
  </r>
  <r>
    <n v="171"/>
    <s v="Rebecca"/>
    <s v="Preston"/>
    <n v="41"/>
    <x v="1"/>
    <x v="3"/>
    <x v="19"/>
    <d v="2026-03-13T18:02:32"/>
  </r>
  <r>
    <n v="172"/>
    <s v="Veronica"/>
    <s v="Watson"/>
    <n v="61"/>
    <x v="0"/>
    <x v="5"/>
    <x v="16"/>
    <d v="2026-03-13T18:03:10"/>
  </r>
  <r>
    <n v="173"/>
    <s v="Nicole"/>
    <s v="Robles"/>
    <n v="40"/>
    <x v="2"/>
    <x v="5"/>
    <x v="1"/>
    <d v="2026-03-13T18:03:31"/>
  </r>
  <r>
    <n v="174"/>
    <s v="James"/>
    <s v="Flores"/>
    <n v="28"/>
    <x v="0"/>
    <x v="5"/>
    <x v="16"/>
    <d v="2026-03-13T18:03:54"/>
  </r>
  <r>
    <n v="175"/>
    <s v="Jennifer"/>
    <s v="Hawkins"/>
    <n v="55"/>
    <x v="2"/>
    <x v="2"/>
    <x v="15"/>
    <d v="2026-03-13T18:04:09"/>
  </r>
  <r>
    <n v="176"/>
    <s v="Teresa"/>
    <s v="Little"/>
    <n v="37"/>
    <x v="0"/>
    <x v="0"/>
    <x v="0"/>
    <d v="2026-03-13T18:04:56"/>
  </r>
  <r>
    <n v="177"/>
    <s v="Patrick"/>
    <s v="Mann"/>
    <n v="21"/>
    <x v="2"/>
    <x v="1"/>
    <x v="2"/>
    <d v="2026-03-13T18:05:18"/>
  </r>
  <r>
    <n v="178"/>
    <s v="Hailey"/>
    <s v="Randall"/>
    <n v="67"/>
    <x v="2"/>
    <x v="0"/>
    <x v="9"/>
    <d v="2026-03-13T18:06:18"/>
  </r>
  <r>
    <n v="179"/>
    <s v="Lisa"/>
    <s v="Martinez"/>
    <n v="67"/>
    <x v="1"/>
    <x v="1"/>
    <x v="18"/>
    <d v="2026-03-13T18:07:06"/>
  </r>
  <r>
    <n v="180"/>
    <s v="Joshua"/>
    <s v="Ray"/>
    <n v="38"/>
    <x v="2"/>
    <x v="3"/>
    <x v="1"/>
    <d v="2026-03-13T18:07:31"/>
  </r>
  <r>
    <n v="181"/>
    <s v="Dustin"/>
    <s v="Brown"/>
    <n v="53"/>
    <x v="0"/>
    <x v="5"/>
    <x v="18"/>
    <d v="2026-03-13T18:08:11"/>
  </r>
  <r>
    <n v="182"/>
    <s v="Raymond"/>
    <s v="Brown"/>
    <n v="63"/>
    <x v="1"/>
    <x v="6"/>
    <x v="16"/>
    <d v="2026-03-13T18:08:49"/>
  </r>
  <r>
    <n v="183"/>
    <s v="Patrick"/>
    <s v="Rosales"/>
    <n v="49"/>
    <x v="1"/>
    <x v="2"/>
    <x v="7"/>
    <d v="2026-03-13T18:09:44"/>
  </r>
  <r>
    <n v="184"/>
    <s v="Amy"/>
    <s v="Guerra"/>
    <n v="40"/>
    <x v="1"/>
    <x v="6"/>
    <x v="8"/>
    <d v="2026-03-13T18:10:14"/>
  </r>
  <r>
    <n v="185"/>
    <s v="Christina"/>
    <s v="Johnson"/>
    <n v="67"/>
    <x v="2"/>
    <x v="2"/>
    <x v="16"/>
    <d v="2026-03-13T18:10:42"/>
  </r>
  <r>
    <n v="186"/>
    <s v="Daniel"/>
    <s v="Grant"/>
    <n v="62"/>
    <x v="0"/>
    <x v="2"/>
    <x v="16"/>
    <d v="2026-03-13T18:11:29"/>
  </r>
  <r>
    <n v="187"/>
    <s v="Raven"/>
    <s v="Joseph"/>
    <n v="61"/>
    <x v="2"/>
    <x v="4"/>
    <x v="19"/>
    <d v="2026-03-13T18:12:06"/>
  </r>
  <r>
    <n v="188"/>
    <s v="Erica"/>
    <s v="Camacho"/>
    <n v="42"/>
    <x v="2"/>
    <x v="4"/>
    <x v="19"/>
    <d v="2026-03-13T18:12:44"/>
  </r>
  <r>
    <n v="189"/>
    <s v="William"/>
    <s v="Baker"/>
    <n v="43"/>
    <x v="0"/>
    <x v="1"/>
    <x v="4"/>
    <d v="2026-03-13T18:13:44"/>
  </r>
  <r>
    <n v="190"/>
    <s v="Raymond"/>
    <s v="Savage"/>
    <n v="31"/>
    <x v="1"/>
    <x v="5"/>
    <x v="18"/>
    <d v="2026-03-13T18:14:43"/>
  </r>
  <r>
    <n v="191"/>
    <s v="Carol"/>
    <s v="Chen"/>
    <n v="33"/>
    <x v="0"/>
    <x v="3"/>
    <x v="14"/>
    <d v="2026-03-13T18:14:55"/>
  </r>
  <r>
    <n v="192"/>
    <s v="Andrew"/>
    <s v="Deleon"/>
    <n v="61"/>
    <x v="2"/>
    <x v="3"/>
    <x v="11"/>
    <d v="2026-03-13T18:15:33"/>
  </r>
  <r>
    <n v="193"/>
    <s v="Robert"/>
    <s v="Tran"/>
    <n v="65"/>
    <x v="1"/>
    <x v="2"/>
    <x v="9"/>
    <d v="2026-03-13T18:16:33"/>
  </r>
  <r>
    <n v="194"/>
    <s v="Lauren"/>
    <s v="Arellano"/>
    <n v="60"/>
    <x v="2"/>
    <x v="0"/>
    <x v="12"/>
    <d v="2026-03-13T18:16:53"/>
  </r>
  <r>
    <n v="195"/>
    <s v="Daniel"/>
    <s v="Ramirez"/>
    <n v="65"/>
    <x v="1"/>
    <x v="1"/>
    <x v="1"/>
    <d v="2026-03-13T18:17:12"/>
  </r>
  <r>
    <n v="196"/>
    <s v="Dustin"/>
    <s v="Phillips"/>
    <n v="59"/>
    <x v="0"/>
    <x v="2"/>
    <x v="10"/>
    <d v="2026-03-13T18:18:06"/>
  </r>
  <r>
    <n v="197"/>
    <s v="Patty"/>
    <s v="Howard"/>
    <n v="64"/>
    <x v="0"/>
    <x v="6"/>
    <x v="11"/>
    <d v="2026-03-13T18:18:42"/>
  </r>
  <r>
    <n v="198"/>
    <s v="Charles"/>
    <s v="Farrell"/>
    <n v="65"/>
    <x v="0"/>
    <x v="3"/>
    <x v="14"/>
    <d v="2026-03-13T18:19:40"/>
  </r>
  <r>
    <n v="199"/>
    <s v="Rebecca"/>
    <s v="Taylor"/>
    <n v="59"/>
    <x v="1"/>
    <x v="6"/>
    <x v="19"/>
    <d v="2026-03-13T18:19:58"/>
  </r>
  <r>
    <n v="200"/>
    <s v="Julie"/>
    <s v="Wiley"/>
    <n v="41"/>
    <x v="1"/>
    <x v="5"/>
    <x v="5"/>
    <d v="2026-03-13T18:20:52"/>
  </r>
  <r>
    <n v="208"/>
    <s v="Michael"/>
    <s v="Gomez"/>
    <n v="67"/>
    <x v="1"/>
    <x v="6"/>
    <x v="16"/>
    <d v="2026-03-14T15:47:56"/>
  </r>
  <r>
    <n v="209"/>
    <s v="Jeffrey"/>
    <s v="Moreno"/>
    <n v="35"/>
    <x v="1"/>
    <x v="6"/>
    <x v="17"/>
    <d v="2026-03-14T15:48:19"/>
  </r>
  <r>
    <n v="210"/>
    <s v="Calvin"/>
    <s v="Harris"/>
    <n v="20"/>
    <x v="0"/>
    <x v="4"/>
    <x v="15"/>
    <d v="2026-03-14T15:48:35"/>
  </r>
  <r>
    <n v="211"/>
    <s v="Tanya"/>
    <s v="Lee"/>
    <n v="37"/>
    <x v="1"/>
    <x v="5"/>
    <x v="0"/>
    <d v="2026-03-14T15:48:51"/>
  </r>
  <r>
    <n v="212"/>
    <s v="James"/>
    <s v="Brown"/>
    <n v="53"/>
    <x v="2"/>
    <x v="6"/>
    <x v="1"/>
    <d v="2026-03-14T15:49:43"/>
  </r>
  <r>
    <n v="213"/>
    <s v="Jason"/>
    <s v="Mitchell"/>
    <n v="55"/>
    <x v="1"/>
    <x v="1"/>
    <x v="13"/>
    <d v="2026-03-14T15:50:43"/>
  </r>
  <r>
    <n v="214"/>
    <s v="Jodi"/>
    <s v="Davis"/>
    <n v="46"/>
    <x v="1"/>
    <x v="0"/>
    <x v="15"/>
    <d v="2026-03-14T15:51:17"/>
  </r>
  <r>
    <n v="215"/>
    <s v="Reginald"/>
    <s v="Johnson"/>
    <n v="52"/>
    <x v="1"/>
    <x v="1"/>
    <x v="12"/>
    <d v="2026-03-14T15:52:08"/>
  </r>
  <r>
    <n v="216"/>
    <s v="Holly"/>
    <s v="Daniels"/>
    <n v="40"/>
    <x v="2"/>
    <x v="2"/>
    <x v="14"/>
    <d v="2026-03-14T15:52:22"/>
  </r>
  <r>
    <n v="217"/>
    <s v="Mary"/>
    <s v="Mathews"/>
    <n v="28"/>
    <x v="2"/>
    <x v="4"/>
    <x v="10"/>
    <d v="2026-03-14T15:53:01"/>
  </r>
  <r>
    <n v="218"/>
    <s v="Tabitha"/>
    <s v="Harmon"/>
    <n v="42"/>
    <x v="1"/>
    <x v="0"/>
    <x v="6"/>
    <d v="2026-03-14T15:53:45"/>
  </r>
  <r>
    <n v="219"/>
    <s v="Karen"/>
    <s v="Williams"/>
    <n v="26"/>
    <x v="0"/>
    <x v="1"/>
    <x v="11"/>
    <d v="2026-03-14T15:54:19"/>
  </r>
  <r>
    <n v="220"/>
    <s v="Linda"/>
    <s v="Lee"/>
    <n v="56"/>
    <x v="0"/>
    <x v="5"/>
    <x v="7"/>
    <d v="2026-03-14T15:55:06"/>
  </r>
  <r>
    <n v="221"/>
    <s v="Brett"/>
    <s v="Miller"/>
    <n v="48"/>
    <x v="0"/>
    <x v="5"/>
    <x v="11"/>
    <d v="2026-03-14T15:56:03"/>
  </r>
  <r>
    <n v="222"/>
    <s v="Harry"/>
    <s v="Rodriguez"/>
    <n v="35"/>
    <x v="2"/>
    <x v="3"/>
    <x v="0"/>
    <d v="2026-03-14T15:56:35"/>
  </r>
  <r>
    <n v="223"/>
    <s v="Kendra"/>
    <s v="Evans"/>
    <n v="46"/>
    <x v="0"/>
    <x v="1"/>
    <x v="13"/>
    <d v="2026-03-14T15:56:45"/>
  </r>
  <r>
    <n v="224"/>
    <s v="Laurie"/>
    <s v="Garcia"/>
    <n v="65"/>
    <x v="2"/>
    <x v="0"/>
    <x v="14"/>
    <d v="2026-03-14T15:57:21"/>
  </r>
  <r>
    <n v="225"/>
    <s v="Jorge"/>
    <s v="Maldonado"/>
    <n v="35"/>
    <x v="1"/>
    <x v="1"/>
    <x v="7"/>
    <d v="2026-03-14T15:58:13"/>
  </r>
  <r>
    <n v="226"/>
    <s v="Matthew"/>
    <s v="Lopez"/>
    <n v="23"/>
    <x v="2"/>
    <x v="6"/>
    <x v="17"/>
    <d v="2026-03-14T15:59:08"/>
  </r>
  <r>
    <n v="227"/>
    <s v="Miranda"/>
    <s v="Brown"/>
    <n v="59"/>
    <x v="2"/>
    <x v="1"/>
    <x v="18"/>
    <d v="2026-03-14T16:00:04"/>
  </r>
  <r>
    <n v="228"/>
    <s v="Jennifer"/>
    <s v="Sims"/>
    <n v="27"/>
    <x v="1"/>
    <x v="4"/>
    <x v="17"/>
    <d v="2026-03-14T16:00:57"/>
  </r>
  <r>
    <n v="229"/>
    <s v="Rachel"/>
    <s v="Wilkinson"/>
    <n v="21"/>
    <x v="2"/>
    <x v="3"/>
    <x v="17"/>
    <d v="2026-03-14T16:01:08"/>
  </r>
  <r>
    <n v="230"/>
    <s v="Kristin"/>
    <s v="Parrish"/>
    <n v="22"/>
    <x v="1"/>
    <x v="0"/>
    <x v="7"/>
    <d v="2026-03-14T16:01:48"/>
  </r>
  <r>
    <n v="231"/>
    <s v="Jack"/>
    <s v="Huynh"/>
    <n v="19"/>
    <x v="1"/>
    <x v="6"/>
    <x v="17"/>
    <d v="2026-03-14T16:02:09"/>
  </r>
  <r>
    <n v="232"/>
    <s v="Gregory"/>
    <s v="Gray"/>
    <n v="40"/>
    <x v="1"/>
    <x v="0"/>
    <x v="6"/>
    <d v="2026-03-14T16:03:08"/>
  </r>
  <r>
    <n v="233"/>
    <s v="James"/>
    <s v="Stanley"/>
    <n v="38"/>
    <x v="2"/>
    <x v="5"/>
    <x v="17"/>
    <d v="2026-03-14T16:03:24"/>
  </r>
  <r>
    <n v="234"/>
    <s v="Larry"/>
    <s v="Koch"/>
    <n v="18"/>
    <x v="2"/>
    <x v="1"/>
    <x v="5"/>
    <d v="2026-03-14T16:04:16"/>
  </r>
  <r>
    <n v="235"/>
    <s v="Joshua"/>
    <s v="Nguyen"/>
    <n v="43"/>
    <x v="1"/>
    <x v="3"/>
    <x v="19"/>
    <d v="2026-03-14T16:04:44"/>
  </r>
  <r>
    <n v="236"/>
    <s v="Deborah"/>
    <s v="Jackson"/>
    <n v="62"/>
    <x v="0"/>
    <x v="1"/>
    <x v="3"/>
    <d v="2026-03-14T16:05:25"/>
  </r>
  <r>
    <n v="237"/>
    <s v="Zachary"/>
    <s v="Taylor"/>
    <n v="66"/>
    <x v="0"/>
    <x v="0"/>
    <x v="9"/>
    <d v="2026-03-14T16:06:19"/>
  </r>
  <r>
    <n v="238"/>
    <s v="John"/>
    <s v="Gonzalez"/>
    <n v="57"/>
    <x v="2"/>
    <x v="1"/>
    <x v="16"/>
    <d v="2026-03-14T16:07:13"/>
  </r>
  <r>
    <n v="239"/>
    <s v="Anthony"/>
    <s v="Stone"/>
    <n v="53"/>
    <x v="1"/>
    <x v="5"/>
    <x v="14"/>
    <d v="2026-03-14T16:08:02"/>
  </r>
  <r>
    <n v="240"/>
    <s v="Jesus"/>
    <s v="Weiss"/>
    <n v="67"/>
    <x v="0"/>
    <x v="5"/>
    <x v="17"/>
    <d v="2026-03-14T16:08:15"/>
  </r>
  <r>
    <n v="241"/>
    <s v="Caitlin"/>
    <s v="Schultz"/>
    <n v="44"/>
    <x v="2"/>
    <x v="4"/>
    <x v="1"/>
    <d v="2026-03-14T16:08:37"/>
  </r>
  <r>
    <n v="242"/>
    <s v="Chad"/>
    <s v="Bonilla"/>
    <n v="20"/>
    <x v="2"/>
    <x v="5"/>
    <x v="10"/>
    <d v="2026-03-14T16:08:55"/>
  </r>
  <r>
    <n v="243"/>
    <s v="Ian"/>
    <s v="Schultz"/>
    <n v="70"/>
    <x v="0"/>
    <x v="5"/>
    <x v="4"/>
    <d v="2026-03-14T16:09:45"/>
  </r>
  <r>
    <n v="244"/>
    <s v="Jacqueline"/>
    <s v="Dunn"/>
    <n v="65"/>
    <x v="0"/>
    <x v="2"/>
    <x v="9"/>
    <d v="2026-03-14T16:10:40"/>
  </r>
  <r>
    <n v="245"/>
    <s v="Steve"/>
    <s v="Taylor"/>
    <n v="48"/>
    <x v="2"/>
    <x v="3"/>
    <x v="13"/>
    <d v="2026-03-14T16:11:00"/>
  </r>
  <r>
    <n v="246"/>
    <s v="Emily"/>
    <s v="Wright"/>
    <n v="41"/>
    <x v="2"/>
    <x v="6"/>
    <x v="14"/>
    <d v="2026-03-14T16:11:44"/>
  </r>
  <r>
    <n v="247"/>
    <s v="Jeffrey"/>
    <s v="Rollins"/>
    <n v="23"/>
    <x v="0"/>
    <x v="6"/>
    <x v="18"/>
    <d v="2026-03-14T16:12:25"/>
  </r>
  <r>
    <n v="248"/>
    <s v="Edward"/>
    <s v="Clark"/>
    <n v="51"/>
    <x v="0"/>
    <x v="4"/>
    <x v="8"/>
    <d v="2026-03-14T16:12:35"/>
  </r>
  <r>
    <n v="249"/>
    <s v="Matthew"/>
    <s v="Gillespie"/>
    <n v="34"/>
    <x v="0"/>
    <x v="1"/>
    <x v="18"/>
    <d v="2026-03-14T16:12:50"/>
  </r>
  <r>
    <n v="250"/>
    <s v="Jeffrey"/>
    <s v="Chavez"/>
    <n v="29"/>
    <x v="1"/>
    <x v="5"/>
    <x v="16"/>
    <d v="2026-03-14T16:13:19"/>
  </r>
  <r>
    <n v="251"/>
    <s v="Anthony"/>
    <s v="Smith"/>
    <n v="62"/>
    <x v="1"/>
    <x v="0"/>
    <x v="6"/>
    <d v="2026-03-14T16:14:07"/>
  </r>
  <r>
    <n v="252"/>
    <s v="Alexandria"/>
    <s v="Vance"/>
    <n v="70"/>
    <x v="0"/>
    <x v="4"/>
    <x v="5"/>
    <d v="2026-03-14T16:15:01"/>
  </r>
  <r>
    <n v="253"/>
    <s v="Tracy"/>
    <s v="Perry"/>
    <n v="48"/>
    <x v="1"/>
    <x v="3"/>
    <x v="18"/>
    <d v="2026-03-14T16:15:42"/>
  </r>
  <r>
    <n v="254"/>
    <s v="John"/>
    <s v="Nash"/>
    <n v="18"/>
    <x v="0"/>
    <x v="0"/>
    <x v="19"/>
    <d v="2026-03-14T16:16:40"/>
  </r>
  <r>
    <n v="255"/>
    <s v="Matthew"/>
    <s v="Wagner"/>
    <n v="42"/>
    <x v="2"/>
    <x v="3"/>
    <x v="1"/>
    <d v="2026-03-14T16:17:06"/>
  </r>
  <r>
    <n v="256"/>
    <s v="Craig"/>
    <s v="Francis"/>
    <n v="48"/>
    <x v="2"/>
    <x v="6"/>
    <x v="18"/>
    <d v="2026-03-14T16:17:37"/>
  </r>
  <r>
    <n v="257"/>
    <s v="Marvin"/>
    <s v="Winters"/>
    <n v="35"/>
    <x v="1"/>
    <x v="1"/>
    <x v="19"/>
    <d v="2026-03-14T16:18:23"/>
  </r>
  <r>
    <n v="258"/>
    <s v="Tricia"/>
    <s v="Jenkins"/>
    <n v="32"/>
    <x v="0"/>
    <x v="6"/>
    <x v="7"/>
    <d v="2026-03-14T16:19:11"/>
  </r>
  <r>
    <n v="259"/>
    <s v="Debbie"/>
    <s v="French"/>
    <n v="36"/>
    <x v="1"/>
    <x v="3"/>
    <x v="18"/>
    <d v="2026-03-14T16:19:38"/>
  </r>
  <r>
    <n v="260"/>
    <s v="Kristen"/>
    <s v="Peterson"/>
    <n v="20"/>
    <x v="2"/>
    <x v="3"/>
    <x v="9"/>
    <d v="2026-03-14T16:19:53"/>
  </r>
  <r>
    <n v="261"/>
    <s v="Christopher"/>
    <s v="Dixon"/>
    <n v="44"/>
    <x v="0"/>
    <x v="2"/>
    <x v="10"/>
    <d v="2026-03-14T16:20:30"/>
  </r>
  <r>
    <n v="262"/>
    <s v="Rachel"/>
    <s v="Fisher"/>
    <n v="49"/>
    <x v="2"/>
    <x v="0"/>
    <x v="10"/>
    <d v="2026-03-14T16:20:59"/>
  </r>
  <r>
    <n v="263"/>
    <s v="Kyle"/>
    <s v="Jenkins"/>
    <n v="38"/>
    <x v="1"/>
    <x v="2"/>
    <x v="0"/>
    <d v="2026-03-14T16:21:21"/>
  </r>
  <r>
    <n v="264"/>
    <s v="Megan"/>
    <s v="Johnson"/>
    <n v="50"/>
    <x v="2"/>
    <x v="1"/>
    <x v="6"/>
    <d v="2026-03-14T16:22:08"/>
  </r>
  <r>
    <n v="265"/>
    <s v="Ann"/>
    <s v="Hicks"/>
    <n v="23"/>
    <x v="0"/>
    <x v="4"/>
    <x v="4"/>
    <d v="2026-03-14T16:23:00"/>
  </r>
  <r>
    <n v="266"/>
    <s v="Vincent"/>
    <s v="Mcdaniel"/>
    <n v="61"/>
    <x v="1"/>
    <x v="2"/>
    <x v="9"/>
    <d v="2026-03-14T16:23:11"/>
  </r>
  <r>
    <n v="267"/>
    <s v="Yvonne"/>
    <s v="Odonnell"/>
    <n v="40"/>
    <x v="2"/>
    <x v="4"/>
    <x v="8"/>
    <d v="2026-03-14T16:23:36"/>
  </r>
  <r>
    <n v="268"/>
    <s v="Justin"/>
    <s v="Mcmahon"/>
    <n v="21"/>
    <x v="0"/>
    <x v="6"/>
    <x v="16"/>
    <d v="2026-03-14T16:24:23"/>
  </r>
  <r>
    <n v="269"/>
    <s v="Shawn"/>
    <s v="Sparks"/>
    <n v="38"/>
    <x v="0"/>
    <x v="3"/>
    <x v="9"/>
    <d v="2026-03-14T16:24:50"/>
  </r>
  <r>
    <n v="270"/>
    <s v="Kenneth"/>
    <s v="Graves"/>
    <n v="63"/>
    <x v="0"/>
    <x v="2"/>
    <x v="16"/>
    <d v="2026-03-14T16:25:46"/>
  </r>
  <r>
    <n v="271"/>
    <s v="Anthony"/>
    <s v="Cannon"/>
    <n v="65"/>
    <x v="1"/>
    <x v="5"/>
    <x v="9"/>
    <d v="2026-03-14T16:26:05"/>
  </r>
  <r>
    <n v="272"/>
    <s v="Steven"/>
    <s v="Perkins"/>
    <n v="64"/>
    <x v="0"/>
    <x v="5"/>
    <x v="3"/>
    <d v="2026-03-14T16:26:35"/>
  </r>
  <r>
    <n v="273"/>
    <s v="Tammy"/>
    <s v="Heath"/>
    <n v="64"/>
    <x v="2"/>
    <x v="2"/>
    <x v="4"/>
    <d v="2026-03-14T16:27:21"/>
  </r>
  <r>
    <n v="274"/>
    <s v="Jeremy"/>
    <s v="Beck"/>
    <n v="31"/>
    <x v="0"/>
    <x v="0"/>
    <x v="6"/>
    <d v="2026-03-14T16:27:44"/>
  </r>
  <r>
    <n v="275"/>
    <s v="Alan"/>
    <s v="Alexander"/>
    <n v="25"/>
    <x v="0"/>
    <x v="6"/>
    <x v="14"/>
    <d v="2026-03-14T16:28:07"/>
  </r>
  <r>
    <n v="276"/>
    <s v="Elizabeth"/>
    <s v="Hernandez"/>
    <n v="61"/>
    <x v="1"/>
    <x v="1"/>
    <x v="9"/>
    <d v="2026-03-14T16:28:56"/>
  </r>
  <r>
    <n v="277"/>
    <s v="Paul"/>
    <s v="Wyatt"/>
    <n v="31"/>
    <x v="1"/>
    <x v="6"/>
    <x v="11"/>
    <d v="2026-03-14T16:29:27"/>
  </r>
  <r>
    <n v="278"/>
    <s v="Laura"/>
    <s v="Hall"/>
    <n v="34"/>
    <x v="1"/>
    <x v="6"/>
    <x v="19"/>
    <d v="2026-03-14T16:30:16"/>
  </r>
  <r>
    <n v="279"/>
    <s v="Richard"/>
    <s v="Walls"/>
    <n v="18"/>
    <x v="1"/>
    <x v="0"/>
    <x v="8"/>
    <d v="2026-03-14T16:30:54"/>
  </r>
  <r>
    <n v="280"/>
    <s v="Christopher"/>
    <s v="Jones"/>
    <n v="51"/>
    <x v="1"/>
    <x v="0"/>
    <x v="15"/>
    <d v="2026-03-14T16:31:34"/>
  </r>
  <r>
    <n v="281"/>
    <s v="Jill"/>
    <s v="Jones"/>
    <n v="39"/>
    <x v="1"/>
    <x v="1"/>
    <x v="3"/>
    <d v="2026-03-14T16:32:05"/>
  </r>
  <r>
    <n v="282"/>
    <s v="Jeffrey"/>
    <s v="Mccann"/>
    <n v="53"/>
    <x v="0"/>
    <x v="5"/>
    <x v="4"/>
    <d v="2026-03-14T16:32:30"/>
  </r>
  <r>
    <n v="283"/>
    <s v="William"/>
    <s v="Cole"/>
    <n v="25"/>
    <x v="1"/>
    <x v="3"/>
    <x v="8"/>
    <d v="2026-03-14T16:32:58"/>
  </r>
  <r>
    <n v="284"/>
    <s v="Lawrence"/>
    <s v="Collins"/>
    <n v="31"/>
    <x v="2"/>
    <x v="0"/>
    <x v="8"/>
    <d v="2026-03-14T16:33:42"/>
  </r>
  <r>
    <n v="285"/>
    <s v="Tiffany"/>
    <s v="Schultz"/>
    <n v="41"/>
    <x v="0"/>
    <x v="0"/>
    <x v="12"/>
    <d v="2026-03-14T16:33:58"/>
  </r>
  <r>
    <n v="286"/>
    <s v="Nathan"/>
    <s v="Morales"/>
    <n v="21"/>
    <x v="0"/>
    <x v="1"/>
    <x v="1"/>
    <d v="2026-03-14T16:34:48"/>
  </r>
  <r>
    <n v="287"/>
    <s v="Bobby"/>
    <s v="Wilson"/>
    <n v="28"/>
    <x v="2"/>
    <x v="1"/>
    <x v="8"/>
    <d v="2026-03-14T16:35:01"/>
  </r>
  <r>
    <n v="288"/>
    <s v="Shannon"/>
    <s v="Coleman"/>
    <n v="57"/>
    <x v="0"/>
    <x v="2"/>
    <x v="19"/>
    <d v="2026-03-14T16:35:31"/>
  </r>
  <r>
    <n v="289"/>
    <s v="Hannah"/>
    <s v="Dalton"/>
    <n v="29"/>
    <x v="1"/>
    <x v="0"/>
    <x v="17"/>
    <d v="2026-03-14T16:36:07"/>
  </r>
  <r>
    <n v="290"/>
    <s v="Matthew"/>
    <s v="Alvarado"/>
    <n v="25"/>
    <x v="0"/>
    <x v="6"/>
    <x v="17"/>
    <d v="2026-03-14T16:36:51"/>
  </r>
  <r>
    <n v="291"/>
    <s v="Jeremy"/>
    <s v="Smith"/>
    <n v="29"/>
    <x v="0"/>
    <x v="5"/>
    <x v="19"/>
    <d v="2026-03-14T16:37:05"/>
  </r>
  <r>
    <n v="292"/>
    <s v="Joshua"/>
    <s v="Ramos"/>
    <n v="29"/>
    <x v="1"/>
    <x v="3"/>
    <x v="2"/>
    <d v="2026-03-14T16:37:46"/>
  </r>
  <r>
    <n v="293"/>
    <s v="Rebecca"/>
    <s v="Serrano"/>
    <n v="38"/>
    <x v="2"/>
    <x v="4"/>
    <x v="11"/>
    <d v="2026-03-14T16:37:59"/>
  </r>
  <r>
    <n v="294"/>
    <s v="Thomas"/>
    <s v="Kirk"/>
    <n v="60"/>
    <x v="0"/>
    <x v="6"/>
    <x v="6"/>
    <d v="2026-03-14T16:38:43"/>
  </r>
  <r>
    <n v="295"/>
    <s v="Robin"/>
    <s v="Anderson"/>
    <n v="63"/>
    <x v="2"/>
    <x v="1"/>
    <x v="4"/>
    <d v="2026-03-14T16:38:57"/>
  </r>
  <r>
    <n v="296"/>
    <s v="Barbara"/>
    <s v="Sanders"/>
    <n v="24"/>
    <x v="2"/>
    <x v="1"/>
    <x v="4"/>
    <d v="2026-03-14T16:39:35"/>
  </r>
  <r>
    <n v="297"/>
    <s v="Wayne"/>
    <s v="Pope"/>
    <n v="25"/>
    <x v="1"/>
    <x v="0"/>
    <x v="8"/>
    <d v="2026-03-14T16:39:59"/>
  </r>
  <r>
    <n v="298"/>
    <s v="Bridget"/>
    <s v="Garcia"/>
    <n v="45"/>
    <x v="2"/>
    <x v="6"/>
    <x v="0"/>
    <d v="2026-03-14T16:40:33"/>
  </r>
  <r>
    <n v="299"/>
    <s v="Rebekah"/>
    <s v="Peterson"/>
    <n v="22"/>
    <x v="1"/>
    <x v="5"/>
    <x v="7"/>
    <d v="2026-03-14T16:41:01"/>
  </r>
  <r>
    <n v="300"/>
    <s v="Monica"/>
    <s v="Cline"/>
    <n v="39"/>
    <x v="0"/>
    <x v="0"/>
    <x v="9"/>
    <d v="2026-03-14T16:41:13"/>
  </r>
  <r>
    <n v="301"/>
    <s v="Ryan"/>
    <s v="Moore"/>
    <n v="19"/>
    <x v="1"/>
    <x v="4"/>
    <x v="4"/>
    <d v="2026-03-14T16:41:31"/>
  </r>
  <r>
    <n v="302"/>
    <s v="Lisa"/>
    <s v="Moran"/>
    <n v="69"/>
    <x v="0"/>
    <x v="6"/>
    <x v="8"/>
    <d v="2026-03-14T16:42:17"/>
  </r>
  <r>
    <n v="303"/>
    <s v="Tyler"/>
    <s v="Roberts"/>
    <n v="31"/>
    <x v="1"/>
    <x v="5"/>
    <x v="12"/>
    <d v="2026-03-14T16:42:43"/>
  </r>
  <r>
    <n v="304"/>
    <s v="Laura"/>
    <s v="Dunn"/>
    <n v="20"/>
    <x v="0"/>
    <x v="2"/>
    <x v="18"/>
    <d v="2026-03-14T16:43:16"/>
  </r>
  <r>
    <n v="305"/>
    <s v="Crystal"/>
    <s v="Alexander"/>
    <n v="43"/>
    <x v="0"/>
    <x v="5"/>
    <x v="5"/>
    <d v="2026-03-14T16:43:43"/>
  </r>
  <r>
    <n v="306"/>
    <s v="Michael"/>
    <s v="Brooks"/>
    <n v="55"/>
    <x v="1"/>
    <x v="3"/>
    <x v="4"/>
    <d v="2026-03-14T16:44:01"/>
  </r>
  <r>
    <n v="307"/>
    <s v="Jennifer"/>
    <s v="Silva"/>
    <n v="47"/>
    <x v="0"/>
    <x v="3"/>
    <x v="3"/>
    <d v="2026-03-14T16:44:24"/>
  </r>
  <r>
    <n v="308"/>
    <s v="Joseph"/>
    <s v="Castro"/>
    <n v="51"/>
    <x v="2"/>
    <x v="0"/>
    <x v="15"/>
    <d v="2026-03-15T18:15:22"/>
  </r>
  <r>
    <n v="309"/>
    <s v="Wayne"/>
    <s v="Sanchez"/>
    <n v="47"/>
    <x v="1"/>
    <x v="4"/>
    <x v="18"/>
    <d v="2026-03-15T18:15:36"/>
  </r>
  <r>
    <n v="310"/>
    <s v="Jennifer"/>
    <s v="Welch"/>
    <n v="44"/>
    <x v="2"/>
    <x v="5"/>
    <x v="8"/>
    <d v="2026-03-15T18:15:56"/>
  </r>
  <r>
    <n v="311"/>
    <s v="Rebecca"/>
    <s v="Melton"/>
    <n v="19"/>
    <x v="1"/>
    <x v="4"/>
    <x v="15"/>
    <d v="2026-03-15T18:16:52"/>
  </r>
  <r>
    <n v="312"/>
    <s v="James"/>
    <s v="Brown"/>
    <n v="65"/>
    <x v="2"/>
    <x v="4"/>
    <x v="8"/>
    <d v="2026-03-15T18:17:17"/>
  </r>
  <r>
    <n v="313"/>
    <s v="Kevin"/>
    <s v="Reynolds"/>
    <n v="28"/>
    <x v="1"/>
    <x v="5"/>
    <x v="0"/>
    <d v="2026-03-15T18:18:15"/>
  </r>
  <r>
    <n v="314"/>
    <s v="Joshua"/>
    <s v="Thompson"/>
    <n v="65"/>
    <x v="2"/>
    <x v="3"/>
    <x v="3"/>
    <d v="2026-03-15T18:18:36"/>
  </r>
  <r>
    <n v="315"/>
    <s v="Lindsey"/>
    <s v="Brock"/>
    <n v="51"/>
    <x v="1"/>
    <x v="1"/>
    <x v="10"/>
    <d v="2026-03-15T18:18:54"/>
  </r>
  <r>
    <n v="316"/>
    <s v="Stacey"/>
    <s v="Ali"/>
    <n v="66"/>
    <x v="1"/>
    <x v="2"/>
    <x v="3"/>
    <d v="2026-03-15T18:19:14"/>
  </r>
  <r>
    <n v="317"/>
    <s v="Michael"/>
    <s v="Hendrix"/>
    <n v="24"/>
    <x v="1"/>
    <x v="3"/>
    <x v="4"/>
    <d v="2026-03-15T18:19:49"/>
  </r>
  <r>
    <n v="318"/>
    <s v="Charles"/>
    <s v="Rodriguez"/>
    <n v="67"/>
    <x v="2"/>
    <x v="6"/>
    <x v="3"/>
    <d v="2026-03-15T18:20:34"/>
  </r>
  <r>
    <n v="319"/>
    <s v="Becky"/>
    <s v="Wilson"/>
    <n v="51"/>
    <x v="1"/>
    <x v="3"/>
    <x v="0"/>
    <d v="2026-03-15T18:21:20"/>
  </r>
  <r>
    <n v="320"/>
    <s v="Caitlyn"/>
    <s v="Brewer"/>
    <n v="58"/>
    <x v="0"/>
    <x v="5"/>
    <x v="9"/>
    <d v="2026-03-15T18:21:50"/>
  </r>
  <r>
    <n v="321"/>
    <s v="Tyler"/>
    <s v="Elliott"/>
    <n v="34"/>
    <x v="1"/>
    <x v="0"/>
    <x v="16"/>
    <d v="2026-03-15T18:22:26"/>
  </r>
  <r>
    <n v="322"/>
    <s v="Benjamin"/>
    <s v="Flores"/>
    <n v="26"/>
    <x v="1"/>
    <x v="4"/>
    <x v="15"/>
    <d v="2026-03-15T18:22:52"/>
  </r>
  <r>
    <n v="323"/>
    <s v="Steven"/>
    <s v="Clark"/>
    <n v="70"/>
    <x v="0"/>
    <x v="5"/>
    <x v="2"/>
    <d v="2026-03-15T18:23:27"/>
  </r>
  <r>
    <n v="324"/>
    <s v="Connie"/>
    <s v="Fry"/>
    <n v="37"/>
    <x v="1"/>
    <x v="6"/>
    <x v="13"/>
    <d v="2026-03-15T18:23:37"/>
  </r>
  <r>
    <n v="325"/>
    <s v="Melissa"/>
    <s v="Chapman"/>
    <n v="65"/>
    <x v="0"/>
    <x v="5"/>
    <x v="1"/>
    <d v="2026-03-15T18:24:31"/>
  </r>
  <r>
    <n v="326"/>
    <s v="Daniel"/>
    <s v="Carter"/>
    <n v="29"/>
    <x v="2"/>
    <x v="1"/>
    <x v="11"/>
    <d v="2026-03-15T18:25:29"/>
  </r>
  <r>
    <n v="327"/>
    <s v="Kristin"/>
    <s v="Richardson"/>
    <n v="44"/>
    <x v="2"/>
    <x v="3"/>
    <x v="6"/>
    <d v="2026-03-15T18:26:14"/>
  </r>
  <r>
    <n v="328"/>
    <s v="Benjamin"/>
    <s v="Smith"/>
    <n v="19"/>
    <x v="2"/>
    <x v="5"/>
    <x v="15"/>
    <d v="2026-03-15T18:26:31"/>
  </r>
  <r>
    <n v="329"/>
    <s v="Jordan"/>
    <s v="Baxter"/>
    <n v="53"/>
    <x v="2"/>
    <x v="0"/>
    <x v="9"/>
    <d v="2026-03-15T18:27:09"/>
  </r>
  <r>
    <n v="330"/>
    <s v="Tina"/>
    <s v="Ford"/>
    <n v="69"/>
    <x v="0"/>
    <x v="4"/>
    <x v="5"/>
    <d v="2026-03-15T18:27:43"/>
  </r>
  <r>
    <n v="331"/>
    <s v="Michael"/>
    <s v="Martinez"/>
    <n v="42"/>
    <x v="1"/>
    <x v="3"/>
    <x v="9"/>
    <d v="2026-03-15T18:28:12"/>
  </r>
  <r>
    <n v="332"/>
    <s v="Kenneth"/>
    <s v="Mills"/>
    <n v="39"/>
    <x v="0"/>
    <x v="2"/>
    <x v="14"/>
    <d v="2026-03-15T18:28:33"/>
  </r>
  <r>
    <n v="333"/>
    <s v="Crystal"/>
    <s v="Dominguez"/>
    <n v="58"/>
    <x v="0"/>
    <x v="2"/>
    <x v="2"/>
    <d v="2026-03-15T18:53:46"/>
  </r>
  <r>
    <n v="334"/>
    <s v="Debra"/>
    <s v="Myers"/>
    <n v="25"/>
    <x v="2"/>
    <x v="2"/>
    <x v="17"/>
    <d v="2026-03-15T19:05:30"/>
  </r>
  <r>
    <n v="335"/>
    <s v="Jackson"/>
    <s v="Rodriguez"/>
    <n v="47"/>
    <x v="1"/>
    <x v="6"/>
    <x v="4"/>
    <d v="2026-03-15T19:06:27"/>
  </r>
  <r>
    <n v="336"/>
    <s v="Carla"/>
    <s v="Ross"/>
    <n v="23"/>
    <x v="1"/>
    <x v="1"/>
    <x v="16"/>
    <d v="2026-03-15T19:06:45"/>
  </r>
  <r>
    <n v="337"/>
    <s v="Amanda"/>
    <s v="Ewing"/>
    <n v="42"/>
    <x v="1"/>
    <x v="2"/>
    <x v="15"/>
    <d v="2026-03-15T19:07:15"/>
  </r>
  <r>
    <n v="338"/>
    <s v="Scott"/>
    <s v="Johnson"/>
    <n v="50"/>
    <x v="0"/>
    <x v="3"/>
    <x v="7"/>
    <d v="2026-03-15T19:07:26"/>
  </r>
  <r>
    <n v="339"/>
    <s v="Susan"/>
    <s v="Lamb"/>
    <n v="52"/>
    <x v="1"/>
    <x v="2"/>
    <x v="17"/>
    <d v="2026-03-15T19:07:53"/>
  </r>
  <r>
    <n v="340"/>
    <s v="Jonathan"/>
    <s v="Wright"/>
    <n v="49"/>
    <x v="1"/>
    <x v="1"/>
    <x v="1"/>
    <d v="2026-03-15T19:08:11"/>
  </r>
  <r>
    <n v="341"/>
    <s v="Robert"/>
    <s v="Thomas"/>
    <n v="64"/>
    <x v="1"/>
    <x v="6"/>
    <x v="9"/>
    <d v="2026-03-15T19:08:31"/>
  </r>
  <r>
    <n v="342"/>
    <s v="Erik"/>
    <s v="Lyons"/>
    <n v="49"/>
    <x v="2"/>
    <x v="3"/>
    <x v="7"/>
    <d v="2026-03-15T19:08:42"/>
  </r>
  <r>
    <n v="343"/>
    <s v="James"/>
    <s v="Thompson"/>
    <n v="19"/>
    <x v="1"/>
    <x v="1"/>
    <x v="4"/>
    <d v="2026-03-15T19:09:11"/>
  </r>
  <r>
    <n v="344"/>
    <s v="Jared"/>
    <s v="Olsen"/>
    <n v="58"/>
    <x v="2"/>
    <x v="4"/>
    <x v="4"/>
    <d v="2026-03-15T19:10:11"/>
  </r>
  <r>
    <n v="345"/>
    <s v="James"/>
    <s v="Robinson"/>
    <n v="59"/>
    <x v="0"/>
    <x v="2"/>
    <x v="8"/>
    <d v="2026-03-15T19:10:51"/>
  </r>
  <r>
    <n v="346"/>
    <s v="Heather"/>
    <s v="Evans"/>
    <n v="59"/>
    <x v="1"/>
    <x v="3"/>
    <x v="7"/>
    <d v="2026-03-15T19:11:28"/>
  </r>
  <r>
    <n v="347"/>
    <s v="Patrick"/>
    <s v="Scott"/>
    <n v="58"/>
    <x v="2"/>
    <x v="5"/>
    <x v="0"/>
    <d v="2026-03-15T19:11:43"/>
  </r>
  <r>
    <n v="348"/>
    <s v="Curtis"/>
    <s v="Morrow"/>
    <n v="47"/>
    <x v="0"/>
    <x v="2"/>
    <x v="2"/>
    <d v="2026-03-15T19:12:34"/>
  </r>
  <r>
    <n v="349"/>
    <s v="Stephanie"/>
    <s v="Hall"/>
    <n v="68"/>
    <x v="2"/>
    <x v="1"/>
    <x v="8"/>
    <d v="2026-03-15T19:13:02"/>
  </r>
  <r>
    <n v="350"/>
    <s v="Todd"/>
    <s v="Guerrero"/>
    <n v="58"/>
    <x v="2"/>
    <x v="6"/>
    <x v="17"/>
    <d v="2026-03-15T19:13:25"/>
  </r>
  <r>
    <n v="351"/>
    <s v="Timothy"/>
    <s v="Chen"/>
    <n v="64"/>
    <x v="0"/>
    <x v="4"/>
    <x v="19"/>
    <d v="2026-03-15T19:13:57"/>
  </r>
  <r>
    <n v="352"/>
    <s v="Darrell"/>
    <s v="Evans"/>
    <n v="40"/>
    <x v="0"/>
    <x v="3"/>
    <x v="7"/>
    <d v="2026-03-15T19:14:51"/>
  </r>
  <r>
    <n v="353"/>
    <s v="Scott"/>
    <s v="Flynn"/>
    <n v="46"/>
    <x v="0"/>
    <x v="5"/>
    <x v="9"/>
    <d v="2026-03-15T19:15:02"/>
  </r>
  <r>
    <n v="354"/>
    <s v="Martin"/>
    <s v="Pearson"/>
    <n v="48"/>
    <x v="0"/>
    <x v="2"/>
    <x v="1"/>
    <d v="2026-03-15T19:15:38"/>
  </r>
  <r>
    <n v="355"/>
    <s v="Jared"/>
    <s v="Torres"/>
    <n v="25"/>
    <x v="0"/>
    <x v="2"/>
    <x v="4"/>
    <d v="2026-03-15T19:16:28"/>
  </r>
  <r>
    <n v="356"/>
    <s v="Hunter"/>
    <s v="Miller"/>
    <n v="62"/>
    <x v="1"/>
    <x v="2"/>
    <x v="12"/>
    <d v="2026-03-15T19:17:11"/>
  </r>
  <r>
    <n v="357"/>
    <s v="Brian"/>
    <s v="Smith"/>
    <n v="41"/>
    <x v="1"/>
    <x v="4"/>
    <x v="7"/>
    <d v="2026-03-15T19:18:04"/>
  </r>
  <r>
    <n v="358"/>
    <s v="Craig"/>
    <s v="Hawkins"/>
    <n v="43"/>
    <x v="1"/>
    <x v="4"/>
    <x v="19"/>
    <d v="2026-03-15T19:18:17"/>
  </r>
  <r>
    <n v="359"/>
    <s v="Russell"/>
    <s v="Griffith"/>
    <n v="35"/>
    <x v="1"/>
    <x v="1"/>
    <x v="11"/>
    <d v="2026-03-15T19:19:07"/>
  </r>
  <r>
    <n v="360"/>
    <s v="Norman"/>
    <s v="Rodriguez"/>
    <n v="38"/>
    <x v="2"/>
    <x v="1"/>
    <x v="11"/>
    <d v="2026-03-15T19:19:57"/>
  </r>
  <r>
    <n v="361"/>
    <s v="Frank"/>
    <s v="Kelley"/>
    <n v="56"/>
    <x v="0"/>
    <x v="4"/>
    <x v="15"/>
    <d v="2026-03-15T19:20:45"/>
  </r>
  <r>
    <n v="362"/>
    <s v="Kenneth"/>
    <s v="Simmons"/>
    <n v="53"/>
    <x v="2"/>
    <x v="0"/>
    <x v="6"/>
    <d v="2026-03-15T19:21:00"/>
  </r>
  <r>
    <n v="363"/>
    <s v="Tiffany"/>
    <s v="Smith"/>
    <n v="40"/>
    <x v="0"/>
    <x v="3"/>
    <x v="3"/>
    <d v="2026-03-15T19:21:40"/>
  </r>
  <r>
    <n v="364"/>
    <s v="Angela"/>
    <s v="Morrison"/>
    <n v="21"/>
    <x v="2"/>
    <x v="0"/>
    <x v="5"/>
    <d v="2026-03-15T19:22:27"/>
  </r>
  <r>
    <n v="365"/>
    <s v="James"/>
    <s v="Williams"/>
    <n v="49"/>
    <x v="2"/>
    <x v="0"/>
    <x v="2"/>
    <d v="2026-03-15T19:22:52"/>
  </r>
  <r>
    <n v="366"/>
    <s v="Monica"/>
    <s v="Ray"/>
    <n v="25"/>
    <x v="1"/>
    <x v="5"/>
    <x v="11"/>
    <d v="2026-03-15T19:23:50"/>
  </r>
  <r>
    <n v="367"/>
    <s v="Thomas"/>
    <s v="Walker"/>
    <n v="30"/>
    <x v="2"/>
    <x v="2"/>
    <x v="13"/>
    <d v="2026-03-15T19:24:38"/>
  </r>
  <r>
    <n v="368"/>
    <s v="Teresa"/>
    <s v="Collins"/>
    <n v="65"/>
    <x v="2"/>
    <x v="6"/>
    <x v="12"/>
    <d v="2026-03-15T19:25:03"/>
  </r>
  <r>
    <n v="369"/>
    <s v="Kyle"/>
    <s v="Henderson"/>
    <n v="30"/>
    <x v="2"/>
    <x v="1"/>
    <x v="0"/>
    <d v="2026-03-15T19:25:54"/>
  </r>
  <r>
    <n v="370"/>
    <s v="Gregory"/>
    <s v="Holt"/>
    <n v="30"/>
    <x v="2"/>
    <x v="0"/>
    <x v="9"/>
    <d v="2026-03-15T19:26:52"/>
  </r>
  <r>
    <n v="371"/>
    <s v="Amanda"/>
    <s v="Wilson"/>
    <n v="61"/>
    <x v="2"/>
    <x v="2"/>
    <x v="2"/>
    <d v="2026-03-15T19:27:52"/>
  </r>
  <r>
    <n v="372"/>
    <s v="Cindy"/>
    <s v="Villarreal"/>
    <n v="66"/>
    <x v="2"/>
    <x v="6"/>
    <x v="19"/>
    <d v="2026-03-15T19:28:23"/>
  </r>
  <r>
    <n v="373"/>
    <s v="Christopher"/>
    <s v="Evans"/>
    <n v="66"/>
    <x v="0"/>
    <x v="3"/>
    <x v="3"/>
    <d v="2026-03-15T19:29:12"/>
  </r>
  <r>
    <n v="374"/>
    <s v="Donna"/>
    <s v="Berry"/>
    <n v="45"/>
    <x v="0"/>
    <x v="2"/>
    <x v="8"/>
    <d v="2026-03-15T19:30:10"/>
  </r>
  <r>
    <n v="375"/>
    <s v="Samantha"/>
    <s v="Case"/>
    <n v="42"/>
    <x v="0"/>
    <x v="1"/>
    <x v="9"/>
    <d v="2026-03-15T19:30:25"/>
  </r>
  <r>
    <n v="376"/>
    <s v="Cheryl"/>
    <s v="Ochoa"/>
    <n v="68"/>
    <x v="2"/>
    <x v="4"/>
    <x v="19"/>
    <d v="2026-03-15T19:31:20"/>
  </r>
  <r>
    <n v="377"/>
    <s v="Tammy"/>
    <s v="Tate"/>
    <n v="36"/>
    <x v="0"/>
    <x v="0"/>
    <x v="0"/>
    <d v="2026-03-15T19:31:44"/>
  </r>
  <r>
    <n v="378"/>
    <s v="Ronald"/>
    <s v="Jones"/>
    <n v="30"/>
    <x v="1"/>
    <x v="1"/>
    <x v="16"/>
    <d v="2026-03-15T19:32:01"/>
  </r>
  <r>
    <n v="379"/>
    <s v="Kaitlyn"/>
    <s v="Robinson"/>
    <n v="62"/>
    <x v="1"/>
    <x v="6"/>
    <x v="3"/>
    <d v="2026-03-15T19:32:38"/>
  </r>
  <r>
    <n v="380"/>
    <s v="Luis"/>
    <s v="Mcintosh"/>
    <n v="23"/>
    <x v="2"/>
    <x v="2"/>
    <x v="11"/>
    <d v="2026-03-15T19:33:21"/>
  </r>
  <r>
    <n v="381"/>
    <s v="Laura"/>
    <s v="Mitchell"/>
    <n v="53"/>
    <x v="1"/>
    <x v="4"/>
    <x v="2"/>
    <d v="2026-03-15T19:34:04"/>
  </r>
  <r>
    <n v="382"/>
    <s v="Rebecca"/>
    <s v="Spencer"/>
    <n v="63"/>
    <x v="1"/>
    <x v="6"/>
    <x v="11"/>
    <d v="2026-03-15T19:34:33"/>
  </r>
  <r>
    <n v="383"/>
    <s v="Patrick"/>
    <s v="Larson"/>
    <n v="64"/>
    <x v="0"/>
    <x v="5"/>
    <x v="11"/>
    <d v="2026-03-15T19:35:12"/>
  </r>
  <r>
    <n v="384"/>
    <s v="Nicole"/>
    <s v="Rowland"/>
    <n v="25"/>
    <x v="0"/>
    <x v="4"/>
    <x v="9"/>
    <d v="2026-03-15T19:35:25"/>
  </r>
  <r>
    <n v="385"/>
    <s v="Calvin"/>
    <s v="Brown"/>
    <n v="48"/>
    <x v="2"/>
    <x v="5"/>
    <x v="5"/>
    <d v="2026-03-15T19:35:51"/>
  </r>
  <r>
    <n v="386"/>
    <s v="Tiffany"/>
    <s v="Campbell"/>
    <n v="33"/>
    <x v="0"/>
    <x v="0"/>
    <x v="18"/>
    <d v="2026-03-15T19:36:17"/>
  </r>
  <r>
    <n v="387"/>
    <s v="Antonio"/>
    <s v="Williams"/>
    <n v="41"/>
    <x v="1"/>
    <x v="3"/>
    <x v="5"/>
    <d v="2026-03-15T19:37:03"/>
  </r>
  <r>
    <n v="388"/>
    <s v="Dana"/>
    <s v="Williamson"/>
    <n v="43"/>
    <x v="2"/>
    <x v="1"/>
    <x v="6"/>
    <d v="2026-03-15T19:37:20"/>
  </r>
  <r>
    <n v="389"/>
    <s v="Debra"/>
    <s v="Frazier"/>
    <n v="49"/>
    <x v="0"/>
    <x v="3"/>
    <x v="4"/>
    <d v="2026-03-15T19:37:32"/>
  </r>
  <r>
    <n v="390"/>
    <s v="Tammie"/>
    <s v="Alexander"/>
    <n v="56"/>
    <x v="1"/>
    <x v="1"/>
    <x v="15"/>
    <d v="2026-03-15T19:37:56"/>
  </r>
  <r>
    <n v="391"/>
    <s v="Courtney"/>
    <s v="Vasquez"/>
    <n v="29"/>
    <x v="2"/>
    <x v="4"/>
    <x v="12"/>
    <d v="2026-03-15T19:38:12"/>
  </r>
  <r>
    <n v="392"/>
    <s v="Wendy"/>
    <s v="Howard"/>
    <n v="70"/>
    <x v="0"/>
    <x v="1"/>
    <x v="12"/>
    <d v="2026-03-15T19:38:52"/>
  </r>
  <r>
    <n v="393"/>
    <s v="Kenneth"/>
    <s v="Murphy"/>
    <n v="28"/>
    <x v="2"/>
    <x v="5"/>
    <x v="9"/>
    <d v="2026-03-15T19:39:50"/>
  </r>
  <r>
    <n v="394"/>
    <s v="Jimmy"/>
    <s v="Hancock"/>
    <n v="53"/>
    <x v="0"/>
    <x v="2"/>
    <x v="2"/>
    <d v="2026-03-15T19:40:35"/>
  </r>
  <r>
    <n v="395"/>
    <s v="Elizabeth"/>
    <s v="Fox"/>
    <n v="47"/>
    <x v="2"/>
    <x v="0"/>
    <x v="5"/>
    <d v="2026-03-15T19:41:28"/>
  </r>
  <r>
    <n v="396"/>
    <s v="Jeremy"/>
    <s v="Roth"/>
    <n v="58"/>
    <x v="1"/>
    <x v="1"/>
    <x v="8"/>
    <d v="2026-03-15T19:42:21"/>
  </r>
  <r>
    <n v="397"/>
    <s v="Christopher"/>
    <s v="Mercado"/>
    <n v="61"/>
    <x v="0"/>
    <x v="4"/>
    <x v="4"/>
    <d v="2026-03-15T19:42:48"/>
  </r>
  <r>
    <n v="398"/>
    <s v="Jason"/>
    <s v="Greene"/>
    <n v="30"/>
    <x v="2"/>
    <x v="0"/>
    <x v="6"/>
    <d v="2026-03-15T19:42:59"/>
  </r>
  <r>
    <n v="399"/>
    <s v="Amanda"/>
    <s v="Henry"/>
    <n v="55"/>
    <x v="1"/>
    <x v="3"/>
    <x v="0"/>
    <d v="2026-03-15T19:43:36"/>
  </r>
  <r>
    <n v="400"/>
    <s v="Chris"/>
    <s v="Young"/>
    <n v="66"/>
    <x v="0"/>
    <x v="5"/>
    <x v="16"/>
    <d v="2026-03-15T19:44:05"/>
  </r>
  <r>
    <n v="401"/>
    <s v="Joseph"/>
    <s v="Holmes"/>
    <n v="38"/>
    <x v="1"/>
    <x v="6"/>
    <x v="17"/>
    <d v="2026-03-15T19:44:20"/>
  </r>
  <r>
    <n v="402"/>
    <s v="Cesar"/>
    <s v="Hernandez"/>
    <n v="47"/>
    <x v="1"/>
    <x v="3"/>
    <x v="18"/>
    <d v="2026-03-15T19:44:46"/>
  </r>
  <r>
    <n v="403"/>
    <s v="Randy"/>
    <s v="Clark"/>
    <n v="51"/>
    <x v="0"/>
    <x v="6"/>
    <x v="9"/>
    <d v="2026-03-15T19:45:06"/>
  </r>
  <r>
    <n v="404"/>
    <s v="Jeff"/>
    <s v="Johnson"/>
    <n v="24"/>
    <x v="1"/>
    <x v="0"/>
    <x v="18"/>
    <d v="2026-03-15T19:45:31"/>
  </r>
  <r>
    <n v="405"/>
    <s v="Renee"/>
    <s v="Chambers"/>
    <n v="31"/>
    <x v="0"/>
    <x v="2"/>
    <x v="12"/>
    <d v="2026-03-15T19:46:07"/>
  </r>
  <r>
    <n v="406"/>
    <s v="David"/>
    <s v="Mclean"/>
    <n v="29"/>
    <x v="0"/>
    <x v="1"/>
    <x v="19"/>
    <d v="2026-03-15T19:46:40"/>
  </r>
  <r>
    <n v="407"/>
    <s v="Crystal"/>
    <s v="Romero"/>
    <n v="36"/>
    <x v="1"/>
    <x v="0"/>
    <x v="11"/>
    <d v="2026-03-15T19:46:52"/>
  </r>
  <r>
    <n v="408"/>
    <s v="Kelly"/>
    <s v="Johnson"/>
    <n v="40"/>
    <x v="2"/>
    <x v="2"/>
    <x v="19"/>
    <d v="2026-03-16T20:26:22"/>
  </r>
  <r>
    <n v="409"/>
    <s v="Jennifer"/>
    <s v="Parks"/>
    <n v="57"/>
    <x v="2"/>
    <x v="1"/>
    <x v="13"/>
    <d v="2026-03-16T20:26:39"/>
  </r>
  <r>
    <n v="410"/>
    <s v="Phillip"/>
    <s v="Romero"/>
    <n v="70"/>
    <x v="2"/>
    <x v="3"/>
    <x v="14"/>
    <d v="2026-03-16T20:26:57"/>
  </r>
  <r>
    <n v="411"/>
    <s v="Andrew"/>
    <s v="Owens"/>
    <n v="54"/>
    <x v="2"/>
    <x v="5"/>
    <x v="2"/>
    <d v="2026-03-16T20:27:11"/>
  </r>
  <r>
    <n v="412"/>
    <s v="Kyle"/>
    <s v="Noble"/>
    <n v="70"/>
    <x v="0"/>
    <x v="4"/>
    <x v="3"/>
    <d v="2026-03-16T20:27:33"/>
  </r>
  <r>
    <n v="413"/>
    <s v="David"/>
    <s v="Martin"/>
    <n v="40"/>
    <x v="1"/>
    <x v="4"/>
    <x v="14"/>
    <d v="2026-03-16T20:28:14"/>
  </r>
  <r>
    <n v="414"/>
    <s v="Anthony"/>
    <s v="Rich"/>
    <n v="45"/>
    <x v="1"/>
    <x v="4"/>
    <x v="14"/>
    <d v="2026-03-16T20:28:41"/>
  </r>
  <r>
    <n v="415"/>
    <s v="Amy"/>
    <s v="Elliott"/>
    <n v="66"/>
    <x v="2"/>
    <x v="5"/>
    <x v="12"/>
    <d v="2026-03-16T20:29:19"/>
  </r>
  <r>
    <n v="416"/>
    <s v="Deborah"/>
    <s v="Carr"/>
    <n v="25"/>
    <x v="2"/>
    <x v="4"/>
    <x v="12"/>
    <d v="2026-03-16T20:30:04"/>
  </r>
  <r>
    <n v="417"/>
    <s v="Angela"/>
    <s v="Carter"/>
    <n v="57"/>
    <x v="0"/>
    <x v="4"/>
    <x v="7"/>
    <d v="2026-03-16T20:30:57"/>
  </r>
  <r>
    <n v="418"/>
    <s v="Derek"/>
    <s v="Kaiser"/>
    <n v="69"/>
    <x v="1"/>
    <x v="2"/>
    <x v="11"/>
    <d v="2026-03-16T20:31:23"/>
  </r>
  <r>
    <n v="419"/>
    <s v="Maurice"/>
    <s v="Gamble"/>
    <n v="22"/>
    <x v="2"/>
    <x v="3"/>
    <x v="16"/>
    <d v="2026-03-16T20:31:44"/>
  </r>
  <r>
    <n v="420"/>
    <s v="Albert"/>
    <s v="Martin"/>
    <n v="45"/>
    <x v="0"/>
    <x v="3"/>
    <x v="4"/>
    <d v="2026-03-16T20:32:24"/>
  </r>
  <r>
    <n v="421"/>
    <s v="Angelica"/>
    <s v="Lopez"/>
    <n v="46"/>
    <x v="1"/>
    <x v="1"/>
    <x v="2"/>
    <d v="2026-03-16T20:32:39"/>
  </r>
  <r>
    <n v="422"/>
    <s v="Kenneth"/>
    <s v="Young"/>
    <n v="23"/>
    <x v="0"/>
    <x v="6"/>
    <x v="5"/>
    <d v="2026-03-16T20:32:55"/>
  </r>
  <r>
    <n v="423"/>
    <s v="Elizabeth"/>
    <s v="Evans"/>
    <n v="61"/>
    <x v="2"/>
    <x v="4"/>
    <x v="9"/>
    <d v="2026-03-16T20:33:50"/>
  </r>
  <r>
    <n v="424"/>
    <s v="Nicholas"/>
    <s v="Mcdonald"/>
    <n v="54"/>
    <x v="1"/>
    <x v="4"/>
    <x v="8"/>
    <d v="2026-03-16T20:34:05"/>
  </r>
  <r>
    <n v="425"/>
    <s v="Adam"/>
    <s v="Brown"/>
    <n v="55"/>
    <x v="1"/>
    <x v="0"/>
    <x v="10"/>
    <d v="2026-03-16T20:35:04"/>
  </r>
  <r>
    <n v="426"/>
    <s v="Jason"/>
    <s v="Richardson"/>
    <n v="50"/>
    <x v="1"/>
    <x v="0"/>
    <x v="12"/>
    <d v="2026-03-16T20:35:35"/>
  </r>
  <r>
    <n v="427"/>
    <s v="Denise"/>
    <s v="Martinez"/>
    <n v="49"/>
    <x v="2"/>
    <x v="0"/>
    <x v="5"/>
    <d v="2026-03-16T20:35:59"/>
  </r>
  <r>
    <n v="428"/>
    <s v="Douglas"/>
    <s v="Murphy"/>
    <n v="57"/>
    <x v="0"/>
    <x v="5"/>
    <x v="6"/>
    <d v="2026-03-16T20:36:25"/>
  </r>
  <r>
    <n v="429"/>
    <s v="Bryan"/>
    <s v="Hammond"/>
    <n v="33"/>
    <x v="0"/>
    <x v="5"/>
    <x v="8"/>
    <d v="2026-03-16T20:36:52"/>
  </r>
  <r>
    <n v="430"/>
    <s v="Diana"/>
    <s v="Miller"/>
    <n v="36"/>
    <x v="2"/>
    <x v="1"/>
    <x v="14"/>
    <d v="2026-03-16T20:37:22"/>
  </r>
  <r>
    <n v="431"/>
    <s v="Kristina"/>
    <s v="Gardner"/>
    <n v="32"/>
    <x v="1"/>
    <x v="1"/>
    <x v="19"/>
    <d v="2026-03-16T20:37:57"/>
  </r>
  <r>
    <n v="432"/>
    <s v="Tyler"/>
    <s v="Alexander"/>
    <n v="63"/>
    <x v="2"/>
    <x v="6"/>
    <x v="14"/>
    <d v="2026-03-16T20:38:35"/>
  </r>
  <r>
    <n v="433"/>
    <s v="Christopher"/>
    <s v="Daniel"/>
    <n v="50"/>
    <x v="1"/>
    <x v="3"/>
    <x v="18"/>
    <d v="2026-03-16T20:39:31"/>
  </r>
  <r>
    <n v="434"/>
    <s v="Tommy"/>
    <s v="Harris"/>
    <n v="70"/>
    <x v="2"/>
    <x v="3"/>
    <x v="15"/>
    <d v="2026-03-16T20:40:01"/>
  </r>
  <r>
    <n v="435"/>
    <s v="Debbie"/>
    <s v="Cruz"/>
    <n v="66"/>
    <x v="0"/>
    <x v="6"/>
    <x v="17"/>
    <d v="2026-03-16T20:40:52"/>
  </r>
  <r>
    <n v="436"/>
    <s v="Danielle"/>
    <s v="Joseph"/>
    <n v="28"/>
    <x v="1"/>
    <x v="2"/>
    <x v="18"/>
    <d v="2026-03-16T20:41:50"/>
  </r>
  <r>
    <n v="437"/>
    <s v="Kathleen"/>
    <s v="Chapman"/>
    <n v="66"/>
    <x v="0"/>
    <x v="6"/>
    <x v="12"/>
    <d v="2026-03-16T20:42:18"/>
  </r>
  <r>
    <n v="438"/>
    <s v="Sheila"/>
    <s v="Conner"/>
    <n v="38"/>
    <x v="0"/>
    <x v="5"/>
    <x v="8"/>
    <d v="2026-03-16T20:42:48"/>
  </r>
  <r>
    <n v="439"/>
    <s v="Yvette"/>
    <s v="Bishop"/>
    <n v="22"/>
    <x v="2"/>
    <x v="1"/>
    <x v="0"/>
    <d v="2026-03-16T20:43:46"/>
  </r>
  <r>
    <n v="440"/>
    <s v="Kari"/>
    <s v="Garcia"/>
    <n v="32"/>
    <x v="0"/>
    <x v="5"/>
    <x v="10"/>
    <d v="2026-03-16T20:44:04"/>
  </r>
  <r>
    <n v="441"/>
    <s v="Daniel"/>
    <s v="Jacobs"/>
    <n v="64"/>
    <x v="2"/>
    <x v="4"/>
    <x v="9"/>
    <d v="2026-03-16T20:44:36"/>
  </r>
  <r>
    <n v="442"/>
    <s v="Martin"/>
    <s v="Morris"/>
    <n v="69"/>
    <x v="1"/>
    <x v="6"/>
    <x v="10"/>
    <d v="2026-03-16T20:45:00"/>
  </r>
  <r>
    <n v="443"/>
    <s v="John"/>
    <s v="Skinner"/>
    <n v="42"/>
    <x v="1"/>
    <x v="6"/>
    <x v="6"/>
    <d v="2026-03-16T20:45:28"/>
  </r>
  <r>
    <n v="444"/>
    <s v="Jason"/>
    <s v="Ellis"/>
    <n v="40"/>
    <x v="2"/>
    <x v="5"/>
    <x v="3"/>
    <d v="2026-03-16T20:46:19"/>
  </r>
  <r>
    <n v="445"/>
    <s v="Alexander"/>
    <s v="Franklin"/>
    <n v="45"/>
    <x v="0"/>
    <x v="5"/>
    <x v="10"/>
    <d v="2026-03-16T20:46:41"/>
  </r>
  <r>
    <n v="446"/>
    <s v="Michael"/>
    <s v="Johnson"/>
    <n v="50"/>
    <x v="1"/>
    <x v="0"/>
    <x v="13"/>
    <d v="2026-03-16T20:47:09"/>
  </r>
  <r>
    <n v="447"/>
    <s v="William"/>
    <s v="Walker"/>
    <n v="31"/>
    <x v="2"/>
    <x v="5"/>
    <x v="19"/>
    <d v="2026-03-16T20:48:05"/>
  </r>
  <r>
    <n v="448"/>
    <s v="Janet"/>
    <s v="Washington"/>
    <n v="67"/>
    <x v="1"/>
    <x v="4"/>
    <x v="4"/>
    <d v="2026-03-16T20:49:05"/>
  </r>
  <r>
    <n v="449"/>
    <s v="Jose"/>
    <s v="Sanchez"/>
    <n v="53"/>
    <x v="2"/>
    <x v="6"/>
    <x v="10"/>
    <d v="2026-03-16T20:49:48"/>
  </r>
  <r>
    <n v="450"/>
    <s v="Perry"/>
    <s v="Martin"/>
    <n v="24"/>
    <x v="1"/>
    <x v="5"/>
    <x v="13"/>
    <d v="2026-03-16T20:50:17"/>
  </r>
  <r>
    <n v="451"/>
    <s v="Robyn"/>
    <s v="Coleman"/>
    <n v="55"/>
    <x v="2"/>
    <x v="4"/>
    <x v="3"/>
    <d v="2026-03-16T20:51:13"/>
  </r>
  <r>
    <n v="452"/>
    <s v="Elizabeth"/>
    <s v="Blankenship"/>
    <n v="45"/>
    <x v="0"/>
    <x v="2"/>
    <x v="1"/>
    <d v="2026-03-16T20:51:49"/>
  </r>
  <r>
    <n v="453"/>
    <s v="Kathy"/>
    <s v="Green"/>
    <n v="28"/>
    <x v="0"/>
    <x v="2"/>
    <x v="10"/>
    <d v="2026-03-16T20:52:18"/>
  </r>
  <r>
    <n v="454"/>
    <s v="Eric"/>
    <s v="Parker"/>
    <n v="22"/>
    <x v="2"/>
    <x v="0"/>
    <x v="5"/>
    <d v="2026-03-16T20:52:56"/>
  </r>
  <r>
    <n v="455"/>
    <s v="Sean"/>
    <s v="Green"/>
    <n v="35"/>
    <x v="2"/>
    <x v="5"/>
    <x v="7"/>
    <d v="2026-03-16T20:53:13"/>
  </r>
  <r>
    <n v="456"/>
    <s v="Rhonda"/>
    <s v="Ashley"/>
    <n v="63"/>
    <x v="1"/>
    <x v="2"/>
    <x v="1"/>
    <d v="2026-03-16T20:53:45"/>
  </r>
  <r>
    <n v="457"/>
    <s v="Eric"/>
    <s v="Smith"/>
    <n v="69"/>
    <x v="1"/>
    <x v="0"/>
    <x v="10"/>
    <d v="2026-03-16T20:54:16"/>
  </r>
  <r>
    <n v="458"/>
    <s v="Daniel"/>
    <s v="Jackson"/>
    <n v="28"/>
    <x v="0"/>
    <x v="6"/>
    <x v="10"/>
    <d v="2026-03-16T20:54:58"/>
  </r>
  <r>
    <n v="459"/>
    <s v="Charles"/>
    <s v="Boyd"/>
    <n v="23"/>
    <x v="1"/>
    <x v="5"/>
    <x v="16"/>
    <d v="2026-03-16T20:55:42"/>
  </r>
  <r>
    <n v="460"/>
    <s v="Anna"/>
    <s v="Rollins"/>
    <n v="63"/>
    <x v="2"/>
    <x v="6"/>
    <x v="19"/>
    <d v="2026-03-16T20:56:09"/>
  </r>
  <r>
    <n v="461"/>
    <s v="Richard"/>
    <s v="Holt"/>
    <n v="61"/>
    <x v="1"/>
    <x v="3"/>
    <x v="14"/>
    <d v="2026-03-16T20:56:53"/>
  </r>
  <r>
    <n v="462"/>
    <s v="Scott"/>
    <s v="Gomez"/>
    <n v="40"/>
    <x v="2"/>
    <x v="5"/>
    <x v="13"/>
    <d v="2026-03-16T20:57:32"/>
  </r>
  <r>
    <n v="463"/>
    <s v="Kristen"/>
    <s v="George"/>
    <n v="47"/>
    <x v="0"/>
    <x v="5"/>
    <x v="8"/>
    <d v="2026-03-16T20:58:11"/>
  </r>
  <r>
    <n v="464"/>
    <s v="Matthew"/>
    <s v="Marshall"/>
    <n v="65"/>
    <x v="0"/>
    <x v="2"/>
    <x v="15"/>
    <d v="2026-03-16T20:58:48"/>
  </r>
  <r>
    <n v="465"/>
    <s v="Cassandra"/>
    <s v="Richards"/>
    <n v="54"/>
    <x v="1"/>
    <x v="0"/>
    <x v="6"/>
    <d v="2026-03-16T20:59:10"/>
  </r>
  <r>
    <n v="466"/>
    <s v="Jeffery"/>
    <s v="Lowe"/>
    <n v="30"/>
    <x v="0"/>
    <x v="3"/>
    <x v="1"/>
    <d v="2026-03-16T20:59:55"/>
  </r>
  <r>
    <n v="467"/>
    <s v="David"/>
    <s v="Clark"/>
    <n v="38"/>
    <x v="2"/>
    <x v="2"/>
    <x v="8"/>
    <d v="2026-03-16T21:00:46"/>
  </r>
  <r>
    <n v="468"/>
    <s v="Stephanie"/>
    <s v="Nichols"/>
    <n v="58"/>
    <x v="2"/>
    <x v="6"/>
    <x v="9"/>
    <d v="2026-03-16T21:01:36"/>
  </r>
  <r>
    <n v="469"/>
    <s v="Steven"/>
    <s v="Robertson"/>
    <n v="58"/>
    <x v="0"/>
    <x v="2"/>
    <x v="11"/>
    <d v="2026-03-16T21:02:18"/>
  </r>
  <r>
    <n v="470"/>
    <s v="Jeffrey"/>
    <s v="Howard"/>
    <n v="50"/>
    <x v="1"/>
    <x v="3"/>
    <x v="13"/>
    <d v="2026-03-16T21:03:10"/>
  </r>
  <r>
    <n v="471"/>
    <s v="Connie"/>
    <s v="Robinson"/>
    <n v="21"/>
    <x v="1"/>
    <x v="2"/>
    <x v="10"/>
    <d v="2026-03-16T21:03:29"/>
  </r>
  <r>
    <n v="472"/>
    <s v="Joshua"/>
    <s v="Bishop"/>
    <n v="21"/>
    <x v="2"/>
    <x v="1"/>
    <x v="1"/>
    <d v="2026-03-16T21:04:18"/>
  </r>
  <r>
    <n v="473"/>
    <s v="Kevin"/>
    <s v="Pham"/>
    <n v="22"/>
    <x v="2"/>
    <x v="5"/>
    <x v="12"/>
    <d v="2026-03-16T21:05:17"/>
  </r>
  <r>
    <n v="474"/>
    <s v="Misty"/>
    <s v="Shepherd"/>
    <n v="33"/>
    <x v="1"/>
    <x v="6"/>
    <x v="18"/>
    <d v="2026-03-16T21:05:29"/>
  </r>
  <r>
    <n v="475"/>
    <s v="Katherine"/>
    <s v="Decker"/>
    <n v="31"/>
    <x v="2"/>
    <x v="4"/>
    <x v="0"/>
    <d v="2026-03-16T21:06:28"/>
  </r>
  <r>
    <n v="476"/>
    <s v="Steven"/>
    <s v="Dominguez"/>
    <n v="27"/>
    <x v="1"/>
    <x v="5"/>
    <x v="18"/>
    <d v="2026-03-16T21:06:39"/>
  </r>
  <r>
    <n v="477"/>
    <s v="Nathan"/>
    <s v="Cohen"/>
    <n v="61"/>
    <x v="2"/>
    <x v="1"/>
    <x v="9"/>
    <d v="2026-03-16T21:07:39"/>
  </r>
  <r>
    <n v="478"/>
    <s v="Dennis"/>
    <s v="Bush"/>
    <n v="26"/>
    <x v="0"/>
    <x v="6"/>
    <x v="12"/>
    <d v="2026-03-16T21:07:54"/>
  </r>
  <r>
    <n v="479"/>
    <s v="James"/>
    <s v="Jackson"/>
    <n v="54"/>
    <x v="0"/>
    <x v="3"/>
    <x v="2"/>
    <d v="2026-03-16T21:08:14"/>
  </r>
  <r>
    <n v="480"/>
    <s v="Melissa"/>
    <s v="Campbell"/>
    <n v="23"/>
    <x v="2"/>
    <x v="6"/>
    <x v="7"/>
    <d v="2026-03-16T21:09:08"/>
  </r>
  <r>
    <n v="481"/>
    <s v="Teresa"/>
    <s v="Anderson"/>
    <n v="32"/>
    <x v="2"/>
    <x v="6"/>
    <x v="2"/>
    <d v="2026-03-16T21:09:30"/>
  </r>
  <r>
    <n v="482"/>
    <s v="Kimberly"/>
    <s v="Novak"/>
    <n v="31"/>
    <x v="2"/>
    <x v="5"/>
    <x v="2"/>
    <d v="2026-03-16T21:09:47"/>
  </r>
  <r>
    <n v="483"/>
    <s v="Caroline"/>
    <s v="Jennings"/>
    <n v="60"/>
    <x v="2"/>
    <x v="6"/>
    <x v="10"/>
    <d v="2026-03-16T21:10:07"/>
  </r>
  <r>
    <n v="484"/>
    <s v="Roger"/>
    <s v="Acevedo"/>
    <n v="22"/>
    <x v="2"/>
    <x v="0"/>
    <x v="7"/>
    <d v="2026-03-16T21:11:01"/>
  </r>
  <r>
    <n v="485"/>
    <s v="Charles"/>
    <s v="Santos"/>
    <n v="63"/>
    <x v="0"/>
    <x v="0"/>
    <x v="10"/>
    <d v="2026-03-16T21:11:15"/>
  </r>
  <r>
    <n v="486"/>
    <s v="Theresa"/>
    <s v="Frederick"/>
    <n v="60"/>
    <x v="1"/>
    <x v="4"/>
    <x v="1"/>
    <d v="2026-03-16T21:11:55"/>
  </r>
  <r>
    <n v="487"/>
    <s v="James"/>
    <s v="Newman"/>
    <n v="38"/>
    <x v="2"/>
    <x v="4"/>
    <x v="0"/>
    <d v="2026-03-16T21:12:39"/>
  </r>
  <r>
    <n v="488"/>
    <s v="Elizabeth"/>
    <s v="Wright"/>
    <n v="29"/>
    <x v="2"/>
    <x v="0"/>
    <x v="19"/>
    <d v="2026-03-16T21:12:56"/>
  </r>
  <r>
    <n v="489"/>
    <s v="Brandi"/>
    <s v="Maddox"/>
    <n v="35"/>
    <x v="0"/>
    <x v="4"/>
    <x v="7"/>
    <d v="2026-03-16T21:13:15"/>
  </r>
  <r>
    <n v="490"/>
    <s v="Sherry"/>
    <s v="Coleman"/>
    <n v="31"/>
    <x v="0"/>
    <x v="0"/>
    <x v="7"/>
    <d v="2026-03-16T21:14:01"/>
  </r>
  <r>
    <n v="491"/>
    <s v="Tracy"/>
    <s v="Diaz"/>
    <n v="37"/>
    <x v="2"/>
    <x v="3"/>
    <x v="15"/>
    <d v="2026-03-16T21:14:36"/>
  </r>
  <r>
    <n v="492"/>
    <s v="Neil"/>
    <s v="Becker"/>
    <n v="64"/>
    <x v="1"/>
    <x v="4"/>
    <x v="0"/>
    <d v="2026-03-16T21:15:06"/>
  </r>
  <r>
    <n v="493"/>
    <s v="Evan"/>
    <s v="Evans"/>
    <n v="26"/>
    <x v="0"/>
    <x v="6"/>
    <x v="12"/>
    <d v="2026-03-16T21:15:19"/>
  </r>
  <r>
    <n v="494"/>
    <s v="Keith"/>
    <s v="Zavala"/>
    <n v="46"/>
    <x v="1"/>
    <x v="6"/>
    <x v="4"/>
    <d v="2026-03-16T21:15:50"/>
  </r>
  <r>
    <n v="495"/>
    <s v="Timothy"/>
    <s v="Thomas"/>
    <n v="65"/>
    <x v="1"/>
    <x v="2"/>
    <x v="14"/>
    <d v="2026-03-16T21:16:46"/>
  </r>
  <r>
    <n v="496"/>
    <s v="Kimberly"/>
    <s v="Tucker"/>
    <n v="68"/>
    <x v="0"/>
    <x v="1"/>
    <x v="14"/>
    <d v="2026-03-16T21:17:39"/>
  </r>
  <r>
    <n v="497"/>
    <s v="Kimberly"/>
    <s v="Parrish"/>
    <n v="37"/>
    <x v="0"/>
    <x v="2"/>
    <x v="10"/>
    <d v="2026-03-16T21:17:53"/>
  </r>
  <r>
    <n v="498"/>
    <s v="Robin"/>
    <s v="Rodgers"/>
    <n v="44"/>
    <x v="0"/>
    <x v="0"/>
    <x v="16"/>
    <d v="2026-03-16T21:18:38"/>
  </r>
  <r>
    <n v="499"/>
    <s v="Travis"/>
    <s v="Mays"/>
    <n v="68"/>
    <x v="1"/>
    <x v="1"/>
    <x v="10"/>
    <d v="2026-03-16T21:19:28"/>
  </r>
  <r>
    <n v="500"/>
    <s v="Louis"/>
    <s v="Rivera"/>
    <n v="27"/>
    <x v="0"/>
    <x v="6"/>
    <x v="10"/>
    <d v="2026-03-16T21:20:19"/>
  </r>
  <r>
    <n v="501"/>
    <s v="Jennifer"/>
    <s v="Bailey"/>
    <n v="19"/>
    <x v="0"/>
    <x v="0"/>
    <x v="13"/>
    <d v="2026-03-16T21:20:49"/>
  </r>
  <r>
    <n v="502"/>
    <s v="Kristen"/>
    <s v="Moore"/>
    <n v="65"/>
    <x v="2"/>
    <x v="6"/>
    <x v="13"/>
    <d v="2026-03-16T21:21:41"/>
  </r>
  <r>
    <n v="503"/>
    <s v="Alfred"/>
    <s v="Martinez"/>
    <n v="56"/>
    <x v="0"/>
    <x v="1"/>
    <x v="5"/>
    <d v="2026-03-16T21:22:24"/>
  </r>
  <r>
    <n v="504"/>
    <s v="Jody"/>
    <s v="Richardson"/>
    <n v="36"/>
    <x v="1"/>
    <x v="5"/>
    <x v="17"/>
    <d v="2026-03-16T21:22:37"/>
  </r>
  <r>
    <n v="505"/>
    <s v="Ronnie"/>
    <s v="Hancock"/>
    <n v="38"/>
    <x v="1"/>
    <x v="1"/>
    <x v="9"/>
    <d v="2026-03-16T21:23:03"/>
  </r>
  <r>
    <n v="506"/>
    <s v="Lawrence"/>
    <s v="Miller"/>
    <n v="63"/>
    <x v="2"/>
    <x v="6"/>
    <x v="13"/>
    <d v="2026-03-16T21:23:13"/>
  </r>
  <r>
    <n v="507"/>
    <s v="Mark"/>
    <s v="Myers"/>
    <n v="67"/>
    <x v="2"/>
    <x v="4"/>
    <x v="3"/>
    <d v="2026-03-16T21:24:02"/>
  </r>
  <r>
    <n v="508"/>
    <s v="Sarah"/>
    <s v="Lewis"/>
    <n v="67"/>
    <x v="0"/>
    <x v="4"/>
    <x v="19"/>
    <d v="2026-03-31T14:20:20"/>
  </r>
  <r>
    <n v="509"/>
    <s v="Michael"/>
    <s v="Johnson"/>
    <n v="42"/>
    <x v="1"/>
    <x v="6"/>
    <x v="6"/>
    <d v="2026-03-31T14:21:19"/>
  </r>
  <r>
    <n v="510"/>
    <s v="Robert"/>
    <s v="Woods"/>
    <n v="27"/>
    <x v="2"/>
    <x v="3"/>
    <x v="16"/>
    <d v="2026-03-31T14:22:16"/>
  </r>
  <r>
    <n v="511"/>
    <s v="Casey"/>
    <s v="Greer"/>
    <n v="32"/>
    <x v="2"/>
    <x v="3"/>
    <x v="0"/>
    <d v="2026-03-31T14:23:12"/>
  </r>
  <r>
    <n v="512"/>
    <s v="Wayne"/>
    <s v="Johnson"/>
    <n v="70"/>
    <x v="2"/>
    <x v="1"/>
    <x v="2"/>
    <d v="2026-03-31T14:23:56"/>
  </r>
  <r>
    <n v="513"/>
    <s v="David"/>
    <s v="Anderson"/>
    <n v="69"/>
    <x v="2"/>
    <x v="5"/>
    <x v="8"/>
    <d v="2026-03-31T14:24:44"/>
  </r>
  <r>
    <n v="514"/>
    <s v="Richard"/>
    <s v="Jackson"/>
    <n v="61"/>
    <x v="0"/>
    <x v="5"/>
    <x v="8"/>
    <d v="2026-03-31T14:25:33"/>
  </r>
  <r>
    <n v="515"/>
    <s v="Ryan"/>
    <s v="Green"/>
    <n v="28"/>
    <x v="2"/>
    <x v="2"/>
    <x v="16"/>
    <d v="2026-03-31T14:25:58"/>
  </r>
  <r>
    <n v="516"/>
    <s v="Kevin"/>
    <s v="Hill"/>
    <n v="48"/>
    <x v="2"/>
    <x v="3"/>
    <x v="1"/>
    <d v="2026-03-31T14:26:46"/>
  </r>
  <r>
    <n v="517"/>
    <s v="Keith"/>
    <s v="Green"/>
    <n v="59"/>
    <x v="0"/>
    <x v="0"/>
    <x v="2"/>
    <d v="2026-03-31T14:28:05"/>
  </r>
  <r>
    <n v="518"/>
    <s v="Eric"/>
    <s v="Martin"/>
    <n v="48"/>
    <x v="0"/>
    <x v="4"/>
    <x v="19"/>
    <d v="2026-03-31T14:28:34"/>
  </r>
  <r>
    <n v="519"/>
    <s v="Justin"/>
    <s v="Simpson"/>
    <n v="31"/>
    <x v="0"/>
    <x v="5"/>
    <x v="10"/>
    <d v="2026-03-31T14:58:52"/>
  </r>
  <r>
    <n v="520"/>
    <s v="Daniel"/>
    <s v="Nelson"/>
    <n v="24"/>
    <x v="1"/>
    <x v="6"/>
    <x v="9"/>
    <d v="2026-03-31T17:10:10"/>
  </r>
  <r>
    <n v="521"/>
    <s v="Rebecca"/>
    <s v="Chambers"/>
    <n v="31"/>
    <x v="2"/>
    <x v="1"/>
    <x v="9"/>
    <d v="2026-03-31T17:43:22"/>
  </r>
  <r>
    <n v="522"/>
    <s v="Jeffrey"/>
    <s v="Lopez"/>
    <n v="62"/>
    <x v="2"/>
    <x v="1"/>
    <x v="2"/>
    <d v="2026-03-31T17:43:40"/>
  </r>
  <r>
    <n v="523"/>
    <s v="Carl"/>
    <s v="Hawkins"/>
    <n v="48"/>
    <x v="2"/>
    <x v="3"/>
    <x v="5"/>
    <d v="2026-03-31T17:44:13"/>
  </r>
  <r>
    <n v="524"/>
    <s v="Christopher"/>
    <s v="Hull"/>
    <n v="68"/>
    <x v="0"/>
    <x v="3"/>
    <x v="9"/>
    <d v="2026-03-31T17:45:07"/>
  </r>
  <r>
    <n v="525"/>
    <s v="Kristi"/>
    <s v="Smith"/>
    <n v="20"/>
    <x v="1"/>
    <x v="4"/>
    <x v="13"/>
    <d v="2026-03-31T17:45:49"/>
  </r>
  <r>
    <n v="526"/>
    <s v="Desiree"/>
    <s v="Williams"/>
    <n v="47"/>
    <x v="0"/>
    <x v="5"/>
    <x v="3"/>
    <d v="2026-03-31T17:46:06"/>
  </r>
  <r>
    <n v="527"/>
    <s v="Spencer"/>
    <s v="Armstrong"/>
    <n v="20"/>
    <x v="2"/>
    <x v="4"/>
    <x v="8"/>
    <d v="2026-03-31T17:46:24"/>
  </r>
  <r>
    <n v="528"/>
    <s v="Danielle"/>
    <s v="Lopez"/>
    <n v="55"/>
    <x v="1"/>
    <x v="1"/>
    <x v="17"/>
    <d v="2026-03-31T17:47:16"/>
  </r>
  <r>
    <n v="529"/>
    <s v="Tyler"/>
    <s v="Flynn"/>
    <n v="61"/>
    <x v="2"/>
    <x v="4"/>
    <x v="0"/>
    <d v="2026-03-31T17:47:53"/>
  </r>
  <r>
    <n v="530"/>
    <s v="Allen"/>
    <s v="Luna"/>
    <n v="66"/>
    <x v="2"/>
    <x v="3"/>
    <x v="10"/>
    <d v="2026-03-31T17:48:49"/>
  </r>
  <r>
    <n v="531"/>
    <s v="Hunter"/>
    <s v="Campos"/>
    <n v="20"/>
    <x v="1"/>
    <x v="0"/>
    <x v="18"/>
    <d v="2026-03-31T17:49:16"/>
  </r>
  <r>
    <n v="532"/>
    <s v="Maria"/>
    <s v="Smith"/>
    <n v="60"/>
    <x v="2"/>
    <x v="3"/>
    <x v="19"/>
    <d v="2026-03-31T17:49:45"/>
  </r>
  <r>
    <n v="533"/>
    <s v="Anthony"/>
    <s v="Smith"/>
    <n v="26"/>
    <x v="1"/>
    <x v="4"/>
    <x v="0"/>
    <d v="2026-03-31T17:50:01"/>
  </r>
  <r>
    <n v="534"/>
    <s v="Joseph"/>
    <s v="Hanson"/>
    <n v="34"/>
    <x v="1"/>
    <x v="2"/>
    <x v="0"/>
    <d v="2026-03-31T17:50:15"/>
  </r>
  <r>
    <n v="535"/>
    <s v="Charles"/>
    <s v="Browning"/>
    <n v="63"/>
    <x v="0"/>
    <x v="6"/>
    <x v="16"/>
    <d v="2026-03-31T17:50:40"/>
  </r>
  <r>
    <n v="536"/>
    <s v="Joanna"/>
    <s v="Brown"/>
    <n v="57"/>
    <x v="1"/>
    <x v="0"/>
    <x v="10"/>
    <d v="2026-03-31T17:51:39"/>
  </r>
  <r>
    <n v="537"/>
    <s v="Michelle"/>
    <s v="Harris"/>
    <n v="20"/>
    <x v="2"/>
    <x v="2"/>
    <x v="1"/>
    <d v="2026-03-31T17:52:20"/>
  </r>
  <r>
    <n v="538"/>
    <s v="Samantha"/>
    <s v="Sharp"/>
    <n v="25"/>
    <x v="2"/>
    <x v="4"/>
    <x v="19"/>
    <d v="2026-03-31T17:53:06"/>
  </r>
  <r>
    <n v="539"/>
    <s v="Kenneth"/>
    <s v="Greene"/>
    <n v="59"/>
    <x v="2"/>
    <x v="2"/>
    <x v="17"/>
    <d v="2026-03-31T17:53:37"/>
  </r>
  <r>
    <n v="540"/>
    <s v="Maria"/>
    <s v="Ellis"/>
    <n v="21"/>
    <x v="0"/>
    <x v="1"/>
    <x v="10"/>
    <d v="2026-03-31T17:53:47"/>
  </r>
  <r>
    <n v="541"/>
    <s v="Robert"/>
    <s v="Chen"/>
    <n v="20"/>
    <x v="1"/>
    <x v="6"/>
    <x v="16"/>
    <d v="2026-03-31T17:54:12"/>
  </r>
  <r>
    <n v="542"/>
    <s v="Tammy"/>
    <s v="Brown"/>
    <n v="46"/>
    <x v="0"/>
    <x v="6"/>
    <x v="19"/>
    <d v="2026-03-31T17:55:04"/>
  </r>
  <r>
    <n v="543"/>
    <s v="Joseph"/>
    <s v="Johnson"/>
    <n v="21"/>
    <x v="0"/>
    <x v="1"/>
    <x v="1"/>
    <d v="2026-03-31T17:55:14"/>
  </r>
  <r>
    <n v="544"/>
    <s v="Trevor"/>
    <s v="Davis"/>
    <n v="54"/>
    <x v="2"/>
    <x v="3"/>
    <x v="16"/>
    <d v="2026-03-31T17:55:25"/>
  </r>
  <r>
    <n v="545"/>
    <s v="Bryan"/>
    <s v="Russo"/>
    <n v="70"/>
    <x v="0"/>
    <x v="5"/>
    <x v="6"/>
    <d v="2026-03-31T17:56:05"/>
  </r>
  <r>
    <n v="546"/>
    <s v="Alyssa"/>
    <s v="Lawson"/>
    <n v="57"/>
    <x v="0"/>
    <x v="5"/>
    <x v="18"/>
    <d v="2026-03-31T17:56:43"/>
  </r>
  <r>
    <n v="547"/>
    <s v="Donald"/>
    <s v="Pierce"/>
    <n v="29"/>
    <x v="2"/>
    <x v="6"/>
    <x v="4"/>
    <d v="2026-03-31T17:57:12"/>
  </r>
  <r>
    <n v="548"/>
    <s v="Corey"/>
    <s v="Thomas"/>
    <n v="64"/>
    <x v="1"/>
    <x v="2"/>
    <x v="17"/>
    <d v="2026-03-31T17:58:02"/>
  </r>
  <r>
    <n v="549"/>
    <s v="Gary"/>
    <s v="Young"/>
    <n v="24"/>
    <x v="0"/>
    <x v="6"/>
    <x v="9"/>
    <d v="2026-03-31T17:58:17"/>
  </r>
  <r>
    <n v="550"/>
    <s v="Sarah"/>
    <s v="Ellison"/>
    <n v="55"/>
    <x v="1"/>
    <x v="2"/>
    <x v="19"/>
    <d v="2026-03-31T17:58:46"/>
  </r>
  <r>
    <n v="551"/>
    <s v="William"/>
    <s v="Hernandez"/>
    <n v="50"/>
    <x v="1"/>
    <x v="2"/>
    <x v="18"/>
    <d v="2026-03-31T17:59:15"/>
  </r>
  <r>
    <n v="552"/>
    <s v="Lori"/>
    <s v="Mcdowell"/>
    <n v="45"/>
    <x v="1"/>
    <x v="2"/>
    <x v="0"/>
    <d v="2026-03-31T17:59:37"/>
  </r>
  <r>
    <n v="553"/>
    <s v="Jeremy"/>
    <s v="Oconnor"/>
    <n v="35"/>
    <x v="1"/>
    <x v="4"/>
    <x v="16"/>
    <d v="2026-03-31T18:00:20"/>
  </r>
  <r>
    <n v="554"/>
    <s v="Jeffery"/>
    <s v="Thomas"/>
    <n v="32"/>
    <x v="0"/>
    <x v="0"/>
    <x v="0"/>
    <d v="2026-03-31T18:01:11"/>
  </r>
  <r>
    <n v="555"/>
    <s v="Brittany"/>
    <s v="Vasquez"/>
    <n v="65"/>
    <x v="1"/>
    <x v="0"/>
    <x v="4"/>
    <d v="2026-03-31T18:01:23"/>
  </r>
  <r>
    <n v="556"/>
    <s v="Robin"/>
    <s v="Dodson"/>
    <n v="64"/>
    <x v="0"/>
    <x v="0"/>
    <x v="18"/>
    <d v="2026-03-31T18:02:11"/>
  </r>
  <r>
    <n v="557"/>
    <s v="Brandon"/>
    <s v="Rice"/>
    <n v="56"/>
    <x v="0"/>
    <x v="3"/>
    <x v="7"/>
    <d v="2026-03-31T18:02:47"/>
  </r>
  <r>
    <n v="558"/>
    <s v="Cynthia"/>
    <s v="Smith"/>
    <n v="27"/>
    <x v="2"/>
    <x v="3"/>
    <x v="11"/>
    <d v="2026-03-31T18:03:38"/>
  </r>
  <r>
    <n v="559"/>
    <s v="Jason"/>
    <s v="Carr"/>
    <n v="69"/>
    <x v="1"/>
    <x v="6"/>
    <x v="18"/>
    <d v="2026-03-31T18:04:31"/>
  </r>
  <r>
    <n v="560"/>
    <s v="Jonathan"/>
    <s v="Herrera"/>
    <n v="42"/>
    <x v="1"/>
    <x v="2"/>
    <x v="15"/>
    <d v="2026-03-31T18:04:58"/>
  </r>
  <r>
    <n v="561"/>
    <s v="Kenneth"/>
    <s v="Hill"/>
    <n v="37"/>
    <x v="2"/>
    <x v="6"/>
    <x v="4"/>
    <d v="2026-03-31T18:05:20"/>
  </r>
  <r>
    <n v="562"/>
    <s v="Jasmine"/>
    <s v="Pennington"/>
    <n v="59"/>
    <x v="0"/>
    <x v="5"/>
    <x v="4"/>
    <d v="2026-03-31T18:05:57"/>
  </r>
  <r>
    <n v="563"/>
    <s v="Joseph"/>
    <s v="Browning"/>
    <n v="28"/>
    <x v="0"/>
    <x v="6"/>
    <x v="18"/>
    <d v="2026-03-31T18:06:50"/>
  </r>
  <r>
    <n v="564"/>
    <s v="Ryan"/>
    <s v="Reyes"/>
    <n v="26"/>
    <x v="0"/>
    <x v="2"/>
    <x v="10"/>
    <d v="2026-03-31T18:07:38"/>
  </r>
  <r>
    <n v="565"/>
    <s v="Victoria"/>
    <s v="Andrade"/>
    <n v="70"/>
    <x v="1"/>
    <x v="2"/>
    <x v="6"/>
    <d v="2026-03-31T18:08:08"/>
  </r>
  <r>
    <n v="566"/>
    <s v="Jacqueline"/>
    <s v="Rowland"/>
    <n v="58"/>
    <x v="2"/>
    <x v="4"/>
    <x v="14"/>
    <d v="2026-03-31T18:08:19"/>
  </r>
  <r>
    <n v="567"/>
    <s v="Douglas"/>
    <s v="Reeves"/>
    <n v="25"/>
    <x v="0"/>
    <x v="1"/>
    <x v="12"/>
    <d v="2026-03-31T18:08:39"/>
  </r>
  <r>
    <n v="568"/>
    <s v="Dustin"/>
    <s v="Miller"/>
    <n v="31"/>
    <x v="2"/>
    <x v="5"/>
    <x v="13"/>
    <d v="2026-03-31T18:08:52"/>
  </r>
  <r>
    <n v="569"/>
    <s v="Cheryl"/>
    <s v="Friedman"/>
    <n v="47"/>
    <x v="0"/>
    <x v="6"/>
    <x v="3"/>
    <d v="2026-03-31T18:09:21"/>
  </r>
  <r>
    <n v="570"/>
    <s v="Shannon"/>
    <s v="Kent"/>
    <n v="45"/>
    <x v="1"/>
    <x v="4"/>
    <x v="9"/>
    <d v="2026-03-31T18:10:12"/>
  </r>
  <r>
    <n v="571"/>
    <s v="Brandon"/>
    <s v="Dawson"/>
    <n v="64"/>
    <x v="0"/>
    <x v="3"/>
    <x v="7"/>
    <d v="2026-03-31T18:10:59"/>
  </r>
  <r>
    <n v="572"/>
    <s v="Jeffery"/>
    <s v="Kennedy"/>
    <n v="39"/>
    <x v="0"/>
    <x v="4"/>
    <x v="8"/>
    <d v="2026-03-31T18:11:18"/>
  </r>
  <r>
    <n v="573"/>
    <s v="Anthony"/>
    <s v="Atkinson"/>
    <n v="66"/>
    <x v="1"/>
    <x v="6"/>
    <x v="15"/>
    <d v="2026-03-31T18:11:29"/>
  </r>
  <r>
    <n v="574"/>
    <s v="Jason"/>
    <s v="Fischer"/>
    <n v="62"/>
    <x v="0"/>
    <x v="5"/>
    <x v="14"/>
    <d v="2026-03-31T18:12:08"/>
  </r>
  <r>
    <n v="575"/>
    <s v="Linda"/>
    <s v="Mcmahon"/>
    <n v="55"/>
    <x v="1"/>
    <x v="4"/>
    <x v="19"/>
    <d v="2026-03-31T18:12:27"/>
  </r>
  <r>
    <n v="576"/>
    <s v="Sean"/>
    <s v="Carr"/>
    <n v="57"/>
    <x v="2"/>
    <x v="0"/>
    <x v="17"/>
    <d v="2026-03-31T18:12:57"/>
  </r>
  <r>
    <n v="577"/>
    <s v="Anna"/>
    <s v="Smith"/>
    <n v="55"/>
    <x v="0"/>
    <x v="3"/>
    <x v="15"/>
    <d v="2026-03-31T18:13:22"/>
  </r>
  <r>
    <n v="578"/>
    <s v="Cameron"/>
    <s v="Mendez"/>
    <n v="22"/>
    <x v="0"/>
    <x v="1"/>
    <x v="14"/>
    <d v="2026-03-31T18:14:10"/>
  </r>
  <r>
    <n v="579"/>
    <s v="Emily"/>
    <s v="Ramirez"/>
    <n v="51"/>
    <x v="2"/>
    <x v="1"/>
    <x v="1"/>
    <d v="2026-03-31T18:15:08"/>
  </r>
  <r>
    <n v="580"/>
    <s v="Tammy"/>
    <s v="Hall"/>
    <n v="65"/>
    <x v="0"/>
    <x v="3"/>
    <x v="16"/>
    <d v="2026-03-31T18:15:53"/>
  </r>
  <r>
    <n v="581"/>
    <s v="Nicole"/>
    <s v="Barnett"/>
    <n v="59"/>
    <x v="0"/>
    <x v="4"/>
    <x v="17"/>
    <d v="2026-03-31T18:16:45"/>
  </r>
  <r>
    <n v="582"/>
    <s v="Robert"/>
    <s v="Walker"/>
    <n v="52"/>
    <x v="1"/>
    <x v="2"/>
    <x v="12"/>
    <d v="2026-03-31T18:17:05"/>
  </r>
  <r>
    <n v="583"/>
    <s v="Jordan"/>
    <s v="Bryant"/>
    <n v="48"/>
    <x v="2"/>
    <x v="4"/>
    <x v="10"/>
    <d v="2026-03-31T18:17:59"/>
  </r>
  <r>
    <n v="584"/>
    <s v="Daniel"/>
    <s v="Cowan"/>
    <n v="56"/>
    <x v="2"/>
    <x v="0"/>
    <x v="5"/>
    <d v="2026-03-31T18:18:13"/>
  </r>
  <r>
    <n v="585"/>
    <s v="Michael"/>
    <s v="Johnson"/>
    <n v="60"/>
    <x v="0"/>
    <x v="6"/>
    <x v="12"/>
    <d v="2026-03-31T18:18:29"/>
  </r>
  <r>
    <n v="586"/>
    <s v="David"/>
    <s v="Lopez"/>
    <n v="62"/>
    <x v="1"/>
    <x v="6"/>
    <x v="9"/>
    <d v="2026-03-31T18:19:08"/>
  </r>
  <r>
    <n v="587"/>
    <s v="Kathy"/>
    <s v="Day"/>
    <n v="43"/>
    <x v="1"/>
    <x v="2"/>
    <x v="16"/>
    <d v="2026-03-31T18:20:05"/>
  </r>
  <r>
    <n v="588"/>
    <s v="Jacob"/>
    <s v="Giles"/>
    <n v="62"/>
    <x v="2"/>
    <x v="4"/>
    <x v="0"/>
    <d v="2026-03-31T18:20:48"/>
  </r>
  <r>
    <n v="589"/>
    <s v="Carolyn"/>
    <s v="Johns"/>
    <n v="23"/>
    <x v="2"/>
    <x v="5"/>
    <x v="4"/>
    <d v="2026-03-31T18:21:47"/>
  </r>
  <r>
    <n v="590"/>
    <s v="Sean"/>
    <s v="Mccormick"/>
    <n v="60"/>
    <x v="2"/>
    <x v="6"/>
    <x v="19"/>
    <d v="2026-03-31T18:22:14"/>
  </r>
  <r>
    <n v="591"/>
    <s v="Christian"/>
    <s v="Harris"/>
    <n v="48"/>
    <x v="0"/>
    <x v="6"/>
    <x v="14"/>
    <d v="2026-03-31T18:23:08"/>
  </r>
  <r>
    <n v="592"/>
    <s v="Isaiah"/>
    <s v="Walker"/>
    <n v="23"/>
    <x v="2"/>
    <x v="2"/>
    <x v="6"/>
    <d v="2026-03-31T18:23:43"/>
  </r>
  <r>
    <n v="593"/>
    <s v="Joshua"/>
    <s v="Jones"/>
    <n v="48"/>
    <x v="1"/>
    <x v="3"/>
    <x v="9"/>
    <d v="2026-03-31T18:24:27"/>
  </r>
  <r>
    <n v="594"/>
    <s v="Ronald"/>
    <s v="Ellis"/>
    <n v="55"/>
    <x v="2"/>
    <x v="2"/>
    <x v="8"/>
    <d v="2026-03-31T18:24:56"/>
  </r>
  <r>
    <n v="595"/>
    <s v="Beth"/>
    <s v="Roberts"/>
    <n v="48"/>
    <x v="1"/>
    <x v="6"/>
    <x v="19"/>
    <d v="2026-03-31T18:25:20"/>
  </r>
  <r>
    <n v="596"/>
    <s v="Melissa"/>
    <s v="Small"/>
    <n v="48"/>
    <x v="0"/>
    <x v="6"/>
    <x v="0"/>
    <d v="2026-03-31T18:25:45"/>
  </r>
  <r>
    <n v="597"/>
    <s v="Randall"/>
    <s v="Sanders"/>
    <n v="43"/>
    <x v="2"/>
    <x v="2"/>
    <x v="5"/>
    <d v="2026-03-31T18:26:06"/>
  </r>
  <r>
    <n v="598"/>
    <s v="David"/>
    <s v="Burns"/>
    <n v="34"/>
    <x v="1"/>
    <x v="3"/>
    <x v="13"/>
    <d v="2026-03-31T18:26:53"/>
  </r>
  <r>
    <n v="599"/>
    <s v="Adam"/>
    <s v="Edwards"/>
    <n v="47"/>
    <x v="2"/>
    <x v="4"/>
    <x v="11"/>
    <d v="2026-03-31T18:27:03"/>
  </r>
  <r>
    <n v="600"/>
    <s v="Stacy"/>
    <s v="Watkins"/>
    <n v="47"/>
    <x v="1"/>
    <x v="1"/>
    <x v="2"/>
    <d v="2026-03-31T18:27:30"/>
  </r>
  <r>
    <n v="601"/>
    <s v="Tracy"/>
    <s v="Chung"/>
    <n v="50"/>
    <x v="2"/>
    <x v="5"/>
    <x v="17"/>
    <d v="2026-03-31T18:28:26"/>
  </r>
  <r>
    <n v="602"/>
    <s v="Madeline"/>
    <s v="Henry"/>
    <n v="34"/>
    <x v="0"/>
    <x v="5"/>
    <x v="11"/>
    <d v="2026-03-31T18:28:45"/>
  </r>
  <r>
    <n v="603"/>
    <s v="Erica"/>
    <s v="Mcdaniel"/>
    <n v="66"/>
    <x v="0"/>
    <x v="2"/>
    <x v="13"/>
    <d v="2026-03-31T18:29:20"/>
  </r>
  <r>
    <n v="604"/>
    <s v="Ashley"/>
    <s v="Crosby"/>
    <n v="45"/>
    <x v="1"/>
    <x v="4"/>
    <x v="11"/>
    <d v="2026-03-31T18:29:50"/>
  </r>
  <r>
    <n v="605"/>
    <s v="Kayla"/>
    <s v="Thomas"/>
    <n v="63"/>
    <x v="0"/>
    <x v="4"/>
    <x v="18"/>
    <d v="2026-03-31T18:30:07"/>
  </r>
  <r>
    <n v="606"/>
    <s v="Sandra"/>
    <s v="Walker"/>
    <n v="35"/>
    <x v="1"/>
    <x v="1"/>
    <x v="10"/>
    <d v="2026-03-31T18:30:51"/>
  </r>
  <r>
    <n v="607"/>
    <s v="Paula"/>
    <s v="Sanders"/>
    <n v="40"/>
    <x v="0"/>
    <x v="4"/>
    <x v="18"/>
    <d v="2026-03-31T18:31:10"/>
  </r>
  <r>
    <n v="608"/>
    <s v="Jesse"/>
    <s v="Smith"/>
    <n v="70"/>
    <x v="1"/>
    <x v="2"/>
    <x v="18"/>
    <d v="2026-04-01T13:15:51"/>
  </r>
  <r>
    <n v="609"/>
    <s v="Joshua"/>
    <s v="Murray"/>
    <n v="18"/>
    <x v="2"/>
    <x v="5"/>
    <x v="13"/>
    <d v="2026-04-01T13:16:08"/>
  </r>
  <r>
    <n v="610"/>
    <s v="Sheila"/>
    <s v="Davis"/>
    <n v="36"/>
    <x v="1"/>
    <x v="6"/>
    <x v="8"/>
    <d v="2026-04-01T13:16:31"/>
  </r>
  <r>
    <n v="611"/>
    <s v="Christopher"/>
    <s v="Alvarez"/>
    <n v="60"/>
    <x v="1"/>
    <x v="6"/>
    <x v="17"/>
    <d v="2026-04-01T13:16:59"/>
  </r>
  <r>
    <n v="612"/>
    <s v="Cody"/>
    <s v="Perry"/>
    <n v="26"/>
    <x v="1"/>
    <x v="0"/>
    <x v="1"/>
    <d v="2026-04-01T13:17:46"/>
  </r>
  <r>
    <n v="613"/>
    <s v="James"/>
    <s v="Carlson"/>
    <n v="34"/>
    <x v="1"/>
    <x v="1"/>
    <x v="2"/>
    <d v="2026-04-01T13:18:46"/>
  </r>
  <r>
    <n v="614"/>
    <s v="Kathleen"/>
    <s v="Rodriguez"/>
    <n v="38"/>
    <x v="2"/>
    <x v="6"/>
    <x v="5"/>
    <d v="2026-04-01T13:18:56"/>
  </r>
  <r>
    <n v="615"/>
    <s v="Logan"/>
    <s v="Burke"/>
    <n v="22"/>
    <x v="0"/>
    <x v="2"/>
    <x v="17"/>
    <d v="2026-04-01T13:19:54"/>
  </r>
  <r>
    <n v="616"/>
    <s v="Stephen"/>
    <s v="Sanders"/>
    <n v="67"/>
    <x v="2"/>
    <x v="3"/>
    <x v="7"/>
    <d v="2026-04-01T13:20:28"/>
  </r>
  <r>
    <n v="617"/>
    <s v="Angela"/>
    <s v="Vazquez"/>
    <n v="44"/>
    <x v="1"/>
    <x v="0"/>
    <x v="12"/>
    <d v="2026-04-01T13:21:07"/>
  </r>
  <r>
    <n v="618"/>
    <s v="Christine"/>
    <s v="Clark"/>
    <n v="33"/>
    <x v="1"/>
    <x v="3"/>
    <x v="5"/>
    <d v="2026-04-01T13:21:59"/>
  </r>
  <r>
    <n v="619"/>
    <s v="Suzanne"/>
    <s v="Goodman"/>
    <n v="48"/>
    <x v="0"/>
    <x v="2"/>
    <x v="14"/>
    <d v="2026-04-01T13:22:43"/>
  </r>
  <r>
    <n v="620"/>
    <s v="Gail"/>
    <s v="Johnson"/>
    <n v="57"/>
    <x v="1"/>
    <x v="3"/>
    <x v="11"/>
    <d v="2026-04-01T13:23:18"/>
  </r>
  <r>
    <n v="621"/>
    <s v="Tanya"/>
    <s v="Bolton"/>
    <n v="24"/>
    <x v="0"/>
    <x v="3"/>
    <x v="2"/>
    <d v="2026-04-01T13:23:48"/>
  </r>
  <r>
    <n v="622"/>
    <s v="Patrick"/>
    <s v="Walker"/>
    <n v="25"/>
    <x v="0"/>
    <x v="3"/>
    <x v="7"/>
    <d v="2026-04-01T13:24:07"/>
  </r>
  <r>
    <n v="623"/>
    <s v="Brian"/>
    <s v="Reid"/>
    <n v="18"/>
    <x v="0"/>
    <x v="3"/>
    <x v="16"/>
    <d v="2026-04-01T13:24:58"/>
  </r>
  <r>
    <n v="624"/>
    <s v="Jesus"/>
    <s v="Chavez"/>
    <n v="43"/>
    <x v="1"/>
    <x v="6"/>
    <x v="4"/>
    <d v="2026-04-01T13:25:58"/>
  </r>
  <r>
    <n v="625"/>
    <s v="Douglas"/>
    <s v="Campbell"/>
    <n v="25"/>
    <x v="1"/>
    <x v="1"/>
    <x v="18"/>
    <d v="2026-04-01T13:26:19"/>
  </r>
  <r>
    <n v="626"/>
    <s v="Frank"/>
    <s v="Webb"/>
    <n v="20"/>
    <x v="0"/>
    <x v="3"/>
    <x v="1"/>
    <d v="2026-04-01T13:26:49"/>
  </r>
  <r>
    <n v="627"/>
    <s v="Sherri"/>
    <s v="Taylor"/>
    <n v="63"/>
    <x v="0"/>
    <x v="4"/>
    <x v="10"/>
    <d v="2026-04-01T13:27:01"/>
  </r>
  <r>
    <n v="628"/>
    <s v="Luke"/>
    <s v="Contreras"/>
    <n v="47"/>
    <x v="2"/>
    <x v="4"/>
    <x v="17"/>
    <d v="2026-04-01T13:27:31"/>
  </r>
  <r>
    <n v="629"/>
    <s v="Jennifer"/>
    <s v="Lee"/>
    <n v="45"/>
    <x v="2"/>
    <x v="4"/>
    <x v="16"/>
    <d v="2026-04-01T13:28:03"/>
  </r>
  <r>
    <n v="630"/>
    <s v="Timothy"/>
    <s v="Myers"/>
    <n v="57"/>
    <x v="2"/>
    <x v="0"/>
    <x v="0"/>
    <d v="2026-04-01T13:28:49"/>
  </r>
  <r>
    <n v="631"/>
    <s v="Martin"/>
    <s v="Robinson"/>
    <n v="50"/>
    <x v="2"/>
    <x v="4"/>
    <x v="0"/>
    <d v="2026-04-01T13:29:03"/>
  </r>
  <r>
    <n v="632"/>
    <s v="Alexander"/>
    <s v="Burke"/>
    <n v="33"/>
    <x v="2"/>
    <x v="1"/>
    <x v="6"/>
    <d v="2026-04-01T13:29:27"/>
  </r>
  <r>
    <n v="633"/>
    <s v="Alexandra"/>
    <s v="Simmons"/>
    <n v="64"/>
    <x v="0"/>
    <x v="5"/>
    <x v="6"/>
    <d v="2026-04-01T13:29:41"/>
  </r>
  <r>
    <n v="634"/>
    <s v="Richard"/>
    <s v="Morris"/>
    <n v="40"/>
    <x v="2"/>
    <x v="1"/>
    <x v="16"/>
    <d v="2026-04-01T13:30:13"/>
  </r>
  <r>
    <n v="635"/>
    <s v="Shawn"/>
    <s v="Rhodes"/>
    <n v="33"/>
    <x v="1"/>
    <x v="1"/>
    <x v="3"/>
    <d v="2026-04-01T13:30:31"/>
  </r>
  <r>
    <n v="636"/>
    <s v="Jose"/>
    <s v="Mcconnell"/>
    <n v="19"/>
    <x v="0"/>
    <x v="3"/>
    <x v="16"/>
    <d v="2026-04-01T13:30:41"/>
  </r>
  <r>
    <n v="637"/>
    <s v="Destiny"/>
    <s v="Lee"/>
    <n v="60"/>
    <x v="1"/>
    <x v="2"/>
    <x v="2"/>
    <d v="2026-04-01T13:30:58"/>
  </r>
  <r>
    <n v="638"/>
    <s v="Kimberly"/>
    <s v="Joyce"/>
    <n v="28"/>
    <x v="0"/>
    <x v="6"/>
    <x v="5"/>
    <d v="2026-04-01T13:31:48"/>
  </r>
  <r>
    <n v="639"/>
    <s v="Todd"/>
    <s v="Walter"/>
    <n v="41"/>
    <x v="2"/>
    <x v="5"/>
    <x v="18"/>
    <d v="2026-04-01T13:32:30"/>
  </r>
  <r>
    <n v="640"/>
    <s v="Richard"/>
    <s v="Campbell"/>
    <n v="21"/>
    <x v="0"/>
    <x v="2"/>
    <x v="4"/>
    <d v="2026-04-01T13:32:54"/>
  </r>
  <r>
    <n v="641"/>
    <s v="Elizabeth"/>
    <s v="Boone"/>
    <n v="41"/>
    <x v="1"/>
    <x v="1"/>
    <x v="0"/>
    <d v="2026-04-01T13:33:36"/>
  </r>
  <r>
    <n v="642"/>
    <s v="Samantha"/>
    <s v="Kaufman"/>
    <n v="27"/>
    <x v="0"/>
    <x v="6"/>
    <x v="16"/>
    <d v="2026-04-01T13:34:18"/>
  </r>
  <r>
    <n v="643"/>
    <s v="Maria"/>
    <s v="Lopez"/>
    <n v="21"/>
    <x v="2"/>
    <x v="3"/>
    <x v="2"/>
    <d v="2026-04-01T13:34:40"/>
  </r>
  <r>
    <n v="644"/>
    <s v="Haley"/>
    <s v="Freeman"/>
    <n v="50"/>
    <x v="2"/>
    <x v="3"/>
    <x v="12"/>
    <d v="2026-04-01T13:35:39"/>
  </r>
  <r>
    <n v="645"/>
    <s v="Scott"/>
    <s v="Dennis"/>
    <n v="58"/>
    <x v="2"/>
    <x v="4"/>
    <x v="13"/>
    <d v="2026-04-01T13:35:57"/>
  </r>
  <r>
    <n v="646"/>
    <s v="Lisa"/>
    <s v="Paul"/>
    <n v="49"/>
    <x v="1"/>
    <x v="1"/>
    <x v="2"/>
    <d v="2026-04-01T13:36:33"/>
  </r>
  <r>
    <n v="647"/>
    <s v="Nathan"/>
    <s v="Rubio"/>
    <n v="65"/>
    <x v="1"/>
    <x v="0"/>
    <x v="0"/>
    <d v="2026-04-01T13:36:49"/>
  </r>
  <r>
    <n v="648"/>
    <s v="Christopher"/>
    <s v="Hall"/>
    <n v="26"/>
    <x v="1"/>
    <x v="5"/>
    <x v="9"/>
    <d v="2026-04-01T13:37:43"/>
  </r>
  <r>
    <n v="649"/>
    <s v="Richard"/>
    <s v="Diaz"/>
    <n v="36"/>
    <x v="1"/>
    <x v="5"/>
    <x v="1"/>
    <d v="2026-04-01T13:38:18"/>
  </r>
  <r>
    <n v="650"/>
    <s v="Brian"/>
    <s v="Keith"/>
    <n v="39"/>
    <x v="0"/>
    <x v="2"/>
    <x v="12"/>
    <d v="2026-04-01T13:38:32"/>
  </r>
  <r>
    <n v="651"/>
    <s v="Jason"/>
    <s v="Brown"/>
    <n v="64"/>
    <x v="0"/>
    <x v="2"/>
    <x v="12"/>
    <d v="2026-04-01T13:38:49"/>
  </r>
  <r>
    <n v="652"/>
    <s v="Alexis"/>
    <s v="Gordon"/>
    <n v="18"/>
    <x v="0"/>
    <x v="1"/>
    <x v="12"/>
    <d v="2026-04-01T13:39:35"/>
  </r>
  <r>
    <n v="653"/>
    <s v="Edward"/>
    <s v="Murphy"/>
    <n v="20"/>
    <x v="2"/>
    <x v="6"/>
    <x v="7"/>
    <d v="2026-04-01T13:40:07"/>
  </r>
  <r>
    <n v="654"/>
    <s v="Michael"/>
    <s v="Gonzalez"/>
    <n v="68"/>
    <x v="0"/>
    <x v="1"/>
    <x v="15"/>
    <d v="2026-04-01T13:41:04"/>
  </r>
  <r>
    <n v="655"/>
    <s v="Collin"/>
    <s v="Norton"/>
    <n v="21"/>
    <x v="2"/>
    <x v="2"/>
    <x v="1"/>
    <d v="2026-04-01T13:41:26"/>
  </r>
  <r>
    <n v="656"/>
    <s v="Thomas"/>
    <s v="Anderson"/>
    <n v="43"/>
    <x v="2"/>
    <x v="4"/>
    <x v="2"/>
    <d v="2026-04-01T13:42:18"/>
  </r>
  <r>
    <n v="657"/>
    <s v="Lauren"/>
    <s v="Anderson"/>
    <n v="18"/>
    <x v="0"/>
    <x v="3"/>
    <x v="10"/>
    <d v="2026-04-01T13:43:13"/>
  </r>
  <r>
    <n v="658"/>
    <s v="Theodore"/>
    <s v="Mcdonald"/>
    <n v="68"/>
    <x v="2"/>
    <x v="2"/>
    <x v="7"/>
    <d v="2026-04-01T13:43:27"/>
  </r>
  <r>
    <n v="659"/>
    <s v="Michelle"/>
    <s v="Schmidt"/>
    <n v="41"/>
    <x v="1"/>
    <x v="5"/>
    <x v="9"/>
    <d v="2026-04-01T13:43:52"/>
  </r>
  <r>
    <n v="660"/>
    <s v="Amy"/>
    <s v="White"/>
    <n v="46"/>
    <x v="2"/>
    <x v="0"/>
    <x v="3"/>
    <d v="2026-04-01T13:44:19"/>
  </r>
  <r>
    <n v="661"/>
    <s v="Lori"/>
    <s v="Santiago"/>
    <n v="46"/>
    <x v="1"/>
    <x v="5"/>
    <x v="10"/>
    <d v="2026-04-01T13:45:07"/>
  </r>
  <r>
    <n v="662"/>
    <s v="Kerry"/>
    <s v="Pham"/>
    <n v="46"/>
    <x v="0"/>
    <x v="3"/>
    <x v="19"/>
    <d v="2026-04-01T13:45:40"/>
  </r>
  <r>
    <n v="663"/>
    <s v="Rachel"/>
    <s v="Bowen"/>
    <n v="34"/>
    <x v="2"/>
    <x v="5"/>
    <x v="4"/>
    <d v="2026-04-01T13:46:34"/>
  </r>
  <r>
    <n v="664"/>
    <s v="Frank"/>
    <s v="Jones"/>
    <n v="26"/>
    <x v="1"/>
    <x v="4"/>
    <x v="2"/>
    <d v="2026-04-01T13:47:17"/>
  </r>
  <r>
    <n v="665"/>
    <s v="Daniel"/>
    <s v="Roach"/>
    <n v="64"/>
    <x v="2"/>
    <x v="3"/>
    <x v="14"/>
    <d v="2026-04-01T13:48:08"/>
  </r>
  <r>
    <n v="666"/>
    <s v="Walter"/>
    <s v="Nelson"/>
    <n v="27"/>
    <x v="1"/>
    <x v="3"/>
    <x v="5"/>
    <d v="2026-04-01T13:48:30"/>
  </r>
  <r>
    <n v="667"/>
    <s v="Shawn"/>
    <s v="Diaz"/>
    <n v="48"/>
    <x v="0"/>
    <x v="6"/>
    <x v="14"/>
    <d v="2026-04-01T13:48:49"/>
  </r>
  <r>
    <n v="668"/>
    <s v="Brittany"/>
    <s v="Brown"/>
    <n v="35"/>
    <x v="1"/>
    <x v="0"/>
    <x v="8"/>
    <d v="2026-04-01T13:49:40"/>
  </r>
  <r>
    <n v="669"/>
    <s v="Andrea"/>
    <s v="Clarke"/>
    <n v="42"/>
    <x v="2"/>
    <x v="4"/>
    <x v="18"/>
    <d v="2026-04-01T13:50:18"/>
  </r>
  <r>
    <n v="670"/>
    <s v="Lauren"/>
    <s v="Roy"/>
    <n v="70"/>
    <x v="2"/>
    <x v="6"/>
    <x v="7"/>
    <d v="2026-04-01T13:50:32"/>
  </r>
  <r>
    <n v="671"/>
    <s v="Christopher"/>
    <s v="Schneider"/>
    <n v="19"/>
    <x v="0"/>
    <x v="1"/>
    <x v="5"/>
    <d v="2026-04-01T13:51:18"/>
  </r>
  <r>
    <n v="672"/>
    <s v="Michael"/>
    <s v="Bartlett"/>
    <n v="54"/>
    <x v="1"/>
    <x v="5"/>
    <x v="19"/>
    <d v="2026-04-01T13:52:14"/>
  </r>
  <r>
    <n v="673"/>
    <s v="Erik"/>
    <s v="Carr"/>
    <n v="44"/>
    <x v="1"/>
    <x v="3"/>
    <x v="7"/>
    <d v="2026-04-01T13:53:02"/>
  </r>
  <r>
    <n v="674"/>
    <s v="Garrett"/>
    <s v="Browning"/>
    <n v="44"/>
    <x v="0"/>
    <x v="2"/>
    <x v="14"/>
    <d v="2026-04-01T13:53:56"/>
  </r>
  <r>
    <n v="675"/>
    <s v="Lisa"/>
    <s v="Combs"/>
    <n v="26"/>
    <x v="2"/>
    <x v="2"/>
    <x v="4"/>
    <d v="2026-04-01T13:54:36"/>
  </r>
  <r>
    <n v="676"/>
    <s v="Marcus"/>
    <s v="White"/>
    <n v="25"/>
    <x v="1"/>
    <x v="4"/>
    <x v="8"/>
    <d v="2026-04-01T13:55:16"/>
  </r>
  <r>
    <n v="677"/>
    <s v="Ashley"/>
    <s v="Hale"/>
    <n v="38"/>
    <x v="1"/>
    <x v="6"/>
    <x v="8"/>
    <d v="2026-04-01T13:55:36"/>
  </r>
  <r>
    <n v="678"/>
    <s v="Kelsey"/>
    <s v="Green"/>
    <n v="60"/>
    <x v="2"/>
    <x v="5"/>
    <x v="2"/>
    <d v="2026-04-01T13:56:27"/>
  </r>
  <r>
    <n v="679"/>
    <s v="Thomas"/>
    <s v="Perez"/>
    <n v="23"/>
    <x v="1"/>
    <x v="6"/>
    <x v="16"/>
    <d v="2026-04-01T13:57:22"/>
  </r>
  <r>
    <n v="680"/>
    <s v="Lisa"/>
    <s v="Kennedy"/>
    <n v="64"/>
    <x v="0"/>
    <x v="2"/>
    <x v="9"/>
    <d v="2026-04-01T13:58:02"/>
  </r>
  <r>
    <n v="681"/>
    <s v="Rachel"/>
    <s v="Phillips"/>
    <n v="29"/>
    <x v="0"/>
    <x v="1"/>
    <x v="14"/>
    <d v="2026-04-01T13:58:12"/>
  </r>
  <r>
    <n v="682"/>
    <s v="Nancy"/>
    <s v="Mendoza"/>
    <n v="20"/>
    <x v="1"/>
    <x v="1"/>
    <x v="14"/>
    <d v="2026-04-01T13:58:48"/>
  </r>
  <r>
    <n v="683"/>
    <s v="Tommy"/>
    <s v="Norton"/>
    <n v="43"/>
    <x v="0"/>
    <x v="5"/>
    <x v="11"/>
    <d v="2026-04-01T13:59:03"/>
  </r>
  <r>
    <n v="684"/>
    <s v="Timothy"/>
    <s v="Rush"/>
    <n v="54"/>
    <x v="2"/>
    <x v="2"/>
    <x v="1"/>
    <d v="2026-04-01T13:59:56"/>
  </r>
  <r>
    <n v="685"/>
    <s v="Jared"/>
    <s v="Johnson"/>
    <n v="39"/>
    <x v="2"/>
    <x v="4"/>
    <x v="16"/>
    <d v="2026-04-01T14:00:18"/>
  </r>
  <r>
    <n v="686"/>
    <s v="Kristopher"/>
    <s v="Bartlett"/>
    <n v="45"/>
    <x v="2"/>
    <x v="1"/>
    <x v="18"/>
    <d v="2026-04-01T14:00:44"/>
  </r>
  <r>
    <n v="687"/>
    <s v="Jane"/>
    <s v="Davis"/>
    <n v="33"/>
    <x v="1"/>
    <x v="2"/>
    <x v="6"/>
    <d v="2026-04-01T14:00:57"/>
  </r>
  <r>
    <n v="688"/>
    <s v="James"/>
    <s v="Williams"/>
    <n v="36"/>
    <x v="0"/>
    <x v="4"/>
    <x v="17"/>
    <d v="2026-04-01T14:01:22"/>
  </r>
  <r>
    <n v="689"/>
    <s v="Ronald"/>
    <s v="Greer"/>
    <n v="47"/>
    <x v="2"/>
    <x v="2"/>
    <x v="6"/>
    <d v="2026-04-01T14:02:18"/>
  </r>
  <r>
    <n v="690"/>
    <s v="Karen"/>
    <s v="Hess"/>
    <n v="22"/>
    <x v="1"/>
    <x v="2"/>
    <x v="17"/>
    <d v="2026-04-01T14:02:53"/>
  </r>
  <r>
    <n v="691"/>
    <s v="Ronnie"/>
    <s v="Cline"/>
    <n v="21"/>
    <x v="1"/>
    <x v="6"/>
    <x v="7"/>
    <d v="2026-04-01T14:03:06"/>
  </r>
  <r>
    <n v="692"/>
    <s v="Christopher"/>
    <s v="Mathews"/>
    <n v="64"/>
    <x v="2"/>
    <x v="1"/>
    <x v="13"/>
    <d v="2026-04-01T14:04:05"/>
  </r>
  <r>
    <n v="693"/>
    <s v="April"/>
    <s v="Padilla"/>
    <n v="21"/>
    <x v="2"/>
    <x v="1"/>
    <x v="9"/>
    <d v="2026-04-01T14:04:17"/>
  </r>
  <r>
    <n v="694"/>
    <s v="Brian"/>
    <s v="Vargas"/>
    <n v="55"/>
    <x v="0"/>
    <x v="2"/>
    <x v="14"/>
    <d v="2026-04-01T14:04:54"/>
  </r>
  <r>
    <n v="695"/>
    <s v="James"/>
    <s v="Patterson"/>
    <n v="64"/>
    <x v="0"/>
    <x v="4"/>
    <x v="10"/>
    <d v="2026-04-01T14:05:08"/>
  </r>
  <r>
    <n v="696"/>
    <s v="Dennis"/>
    <s v="Fields"/>
    <n v="21"/>
    <x v="0"/>
    <x v="0"/>
    <x v="1"/>
    <d v="2026-04-01T14:06:03"/>
  </r>
  <r>
    <n v="697"/>
    <s v="Ronald"/>
    <s v="Taylor"/>
    <n v="52"/>
    <x v="2"/>
    <x v="1"/>
    <x v="6"/>
    <d v="2026-04-01T14:07:00"/>
  </r>
  <r>
    <n v="698"/>
    <s v="Jessica"/>
    <s v="Ayers"/>
    <n v="32"/>
    <x v="1"/>
    <x v="5"/>
    <x v="14"/>
    <d v="2026-04-01T14:07:27"/>
  </r>
  <r>
    <n v="699"/>
    <s v="James"/>
    <s v="Trevino"/>
    <n v="29"/>
    <x v="1"/>
    <x v="2"/>
    <x v="8"/>
    <d v="2026-04-01T14:08:25"/>
  </r>
  <r>
    <n v="700"/>
    <s v="Shannon"/>
    <s v="Bauer"/>
    <n v="38"/>
    <x v="2"/>
    <x v="5"/>
    <x v="11"/>
    <d v="2026-04-01T14:08:35"/>
  </r>
  <r>
    <n v="701"/>
    <s v="Garrett"/>
    <s v="Kerr"/>
    <n v="32"/>
    <x v="0"/>
    <x v="6"/>
    <x v="3"/>
    <d v="2026-04-01T14:08:47"/>
  </r>
  <r>
    <n v="702"/>
    <s v="Judy"/>
    <s v="Smith"/>
    <n v="20"/>
    <x v="2"/>
    <x v="2"/>
    <x v="7"/>
    <d v="2026-04-01T14:09:03"/>
  </r>
  <r>
    <n v="703"/>
    <s v="Matthew"/>
    <s v="Bird"/>
    <n v="36"/>
    <x v="1"/>
    <x v="0"/>
    <x v="1"/>
    <d v="2026-04-01T14:09:38"/>
  </r>
  <r>
    <n v="704"/>
    <s v="Jason"/>
    <s v="Pennington"/>
    <n v="64"/>
    <x v="0"/>
    <x v="4"/>
    <x v="4"/>
    <d v="2026-04-01T14:10:15"/>
  </r>
  <r>
    <n v="705"/>
    <s v="Joseph"/>
    <s v="Tucker"/>
    <n v="34"/>
    <x v="1"/>
    <x v="2"/>
    <x v="2"/>
    <d v="2026-04-01T14:10:51"/>
  </r>
  <r>
    <n v="706"/>
    <s v="Veronica"/>
    <s v="Hall"/>
    <n v="45"/>
    <x v="2"/>
    <x v="4"/>
    <x v="16"/>
    <d v="2026-04-01T14:11:04"/>
  </r>
  <r>
    <n v="707"/>
    <s v="Mackenzie"/>
    <s v="Dean"/>
    <n v="37"/>
    <x v="0"/>
    <x v="0"/>
    <x v="1"/>
    <d v="2026-04-01T14:12:02"/>
  </r>
  <r>
    <n v="708"/>
    <s v="Michael"/>
    <s v="Keller"/>
    <n v="27"/>
    <x v="2"/>
    <x v="1"/>
    <x v="8"/>
    <d v="2026-04-07T13:33:43"/>
  </r>
  <r>
    <n v="709"/>
    <s v="Elizabeth"/>
    <s v="Mckinney"/>
    <n v="43"/>
    <x v="0"/>
    <x v="2"/>
    <x v="2"/>
    <d v="2026-04-07T13:34:42"/>
  </r>
  <r>
    <n v="710"/>
    <s v="Anthony"/>
    <s v="Burnett"/>
    <n v="40"/>
    <x v="2"/>
    <x v="1"/>
    <x v="4"/>
    <d v="2026-04-07T13:35:28"/>
  </r>
  <r>
    <n v="711"/>
    <s v="Anthony"/>
    <s v="Bradford"/>
    <n v="55"/>
    <x v="2"/>
    <x v="1"/>
    <x v="0"/>
    <d v="2026-04-07T13:36:23"/>
  </r>
  <r>
    <n v="712"/>
    <s v="Samantha"/>
    <s v="Miller"/>
    <n v="53"/>
    <x v="2"/>
    <x v="1"/>
    <x v="9"/>
    <d v="2026-04-07T13:36:40"/>
  </r>
  <r>
    <n v="713"/>
    <s v="William"/>
    <s v="Perry"/>
    <n v="21"/>
    <x v="1"/>
    <x v="4"/>
    <x v="5"/>
    <d v="2026-04-07T13:36:53"/>
  </r>
  <r>
    <n v="714"/>
    <s v="Laura"/>
    <s v="York"/>
    <n v="29"/>
    <x v="2"/>
    <x v="2"/>
    <x v="15"/>
    <d v="2026-04-07T13:37:06"/>
  </r>
  <r>
    <n v="715"/>
    <s v="Katherine"/>
    <s v="Small"/>
    <n v="62"/>
    <x v="2"/>
    <x v="4"/>
    <x v="11"/>
    <d v="2026-04-07T13:37:24"/>
  </r>
  <r>
    <n v="716"/>
    <s v="Jim"/>
    <s v="Johnson"/>
    <n v="65"/>
    <x v="0"/>
    <x v="4"/>
    <x v="8"/>
    <d v="2026-04-07T13:38:10"/>
  </r>
  <r>
    <n v="717"/>
    <s v="Marissa"/>
    <s v="Johnson"/>
    <n v="51"/>
    <x v="1"/>
    <x v="6"/>
    <x v="9"/>
    <d v="2026-04-07T13:38:45"/>
  </r>
  <r>
    <n v="718"/>
    <s v="Connie"/>
    <s v="Lowery"/>
    <n v="70"/>
    <x v="1"/>
    <x v="0"/>
    <x v="12"/>
    <d v="2026-04-07T13:39:19"/>
  </r>
  <r>
    <n v="719"/>
    <s v="James"/>
    <s v="Perry"/>
    <n v="58"/>
    <x v="1"/>
    <x v="2"/>
    <x v="0"/>
    <d v="2026-04-07T13:40:18"/>
  </r>
  <r>
    <n v="720"/>
    <s v="Angela"/>
    <s v="Hudson"/>
    <n v="20"/>
    <x v="0"/>
    <x v="5"/>
    <x v="18"/>
    <d v="2026-04-07T13:40:52"/>
  </r>
  <r>
    <n v="721"/>
    <s v="Mark"/>
    <s v="Cantrell"/>
    <n v="27"/>
    <x v="0"/>
    <x v="2"/>
    <x v="2"/>
    <d v="2026-04-07T13:41:50"/>
  </r>
  <r>
    <n v="722"/>
    <s v="Bethany"/>
    <s v="Park"/>
    <n v="70"/>
    <x v="0"/>
    <x v="3"/>
    <x v="1"/>
    <d v="2026-04-07T13:42:39"/>
  </r>
  <r>
    <n v="723"/>
    <s v="Charles"/>
    <s v="Lopez"/>
    <n v="70"/>
    <x v="0"/>
    <x v="2"/>
    <x v="16"/>
    <d v="2026-04-07T13:43:24"/>
  </r>
  <r>
    <n v="724"/>
    <s v="Amanda"/>
    <s v="Fuentes"/>
    <n v="34"/>
    <x v="1"/>
    <x v="0"/>
    <x v="11"/>
    <d v="2026-04-07T13:44:16"/>
  </r>
  <r>
    <n v="725"/>
    <s v="Kathy"/>
    <s v="Frost"/>
    <n v="36"/>
    <x v="1"/>
    <x v="6"/>
    <x v="11"/>
    <d v="2026-04-07T13:44:47"/>
  </r>
  <r>
    <n v="726"/>
    <s v="Elizabeth"/>
    <s v="Davies"/>
    <n v="32"/>
    <x v="1"/>
    <x v="0"/>
    <x v="3"/>
    <d v="2026-04-07T13:45:20"/>
  </r>
  <r>
    <n v="727"/>
    <s v="Lauren"/>
    <s v="Bender"/>
    <n v="61"/>
    <x v="0"/>
    <x v="4"/>
    <x v="3"/>
    <d v="2026-04-07T13:45:43"/>
  </r>
  <r>
    <n v="728"/>
    <s v="Thomas"/>
    <s v="Figueroa"/>
    <n v="64"/>
    <x v="2"/>
    <x v="0"/>
    <x v="7"/>
    <d v="2026-04-07T13:46:35"/>
  </r>
  <r>
    <n v="729"/>
    <s v="Michael"/>
    <s v="Adkins"/>
    <n v="49"/>
    <x v="2"/>
    <x v="1"/>
    <x v="13"/>
    <d v="2026-04-07T13:47:16"/>
  </r>
  <r>
    <n v="730"/>
    <s v="Andre"/>
    <s v="Welch"/>
    <n v="61"/>
    <x v="1"/>
    <x v="5"/>
    <x v="13"/>
    <d v="2026-04-07T13:48:15"/>
  </r>
  <r>
    <n v="731"/>
    <s v="Ryan"/>
    <s v="Brewer"/>
    <n v="32"/>
    <x v="0"/>
    <x v="4"/>
    <x v="8"/>
    <d v="2026-04-07T13:48:48"/>
  </r>
  <r>
    <n v="732"/>
    <s v="Jason"/>
    <s v="Wright"/>
    <n v="42"/>
    <x v="2"/>
    <x v="6"/>
    <x v="18"/>
    <d v="2026-04-07T13:49:33"/>
  </r>
  <r>
    <n v="733"/>
    <s v="Michael"/>
    <s v="Perez"/>
    <n v="31"/>
    <x v="1"/>
    <x v="6"/>
    <x v="18"/>
    <d v="2026-04-07T13:50:08"/>
  </r>
  <r>
    <n v="734"/>
    <s v="Lauren"/>
    <s v="Phillips"/>
    <n v="36"/>
    <x v="2"/>
    <x v="0"/>
    <x v="5"/>
    <d v="2026-04-07T13:50:42"/>
  </r>
  <r>
    <n v="735"/>
    <s v="Veronica"/>
    <s v="Cobb"/>
    <n v="34"/>
    <x v="0"/>
    <x v="0"/>
    <x v="13"/>
    <d v="2026-04-07T13:51:40"/>
  </r>
  <r>
    <n v="736"/>
    <s v="Raymond"/>
    <s v="Hill"/>
    <n v="32"/>
    <x v="0"/>
    <x v="3"/>
    <x v="7"/>
    <d v="2026-04-07T13:52:24"/>
  </r>
  <r>
    <n v="737"/>
    <s v="Glenda"/>
    <s v="Gilbert"/>
    <n v="31"/>
    <x v="1"/>
    <x v="4"/>
    <x v="1"/>
    <d v="2026-04-07T13:52:55"/>
  </r>
  <r>
    <n v="738"/>
    <s v="Joseph"/>
    <s v="Warner"/>
    <n v="25"/>
    <x v="0"/>
    <x v="5"/>
    <x v="11"/>
    <d v="2026-04-07T13:53:39"/>
  </r>
  <r>
    <n v="739"/>
    <s v="Melissa"/>
    <s v="Haas"/>
    <n v="55"/>
    <x v="0"/>
    <x v="0"/>
    <x v="8"/>
    <d v="2026-04-07T13:54:25"/>
  </r>
  <r>
    <n v="740"/>
    <s v="Diana"/>
    <s v="Acosta"/>
    <n v="65"/>
    <x v="0"/>
    <x v="2"/>
    <x v="1"/>
    <d v="2026-04-07T13:55:03"/>
  </r>
  <r>
    <n v="741"/>
    <s v="Erin"/>
    <s v="Cameron"/>
    <n v="55"/>
    <x v="2"/>
    <x v="3"/>
    <x v="9"/>
    <d v="2026-04-07T13:55:18"/>
  </r>
  <r>
    <n v="742"/>
    <s v="Samantha"/>
    <s v="Johnson"/>
    <n v="55"/>
    <x v="1"/>
    <x v="3"/>
    <x v="11"/>
    <d v="2026-04-07T13:55:35"/>
  </r>
  <r>
    <n v="743"/>
    <s v="Jennifer"/>
    <s v="Adams"/>
    <n v="43"/>
    <x v="2"/>
    <x v="4"/>
    <x v="18"/>
    <d v="2026-04-07T13:56:07"/>
  </r>
  <r>
    <n v="744"/>
    <s v="Christopher"/>
    <s v="Hull"/>
    <n v="29"/>
    <x v="1"/>
    <x v="5"/>
    <x v="8"/>
    <d v="2026-04-07T13:56:30"/>
  </r>
  <r>
    <n v="745"/>
    <s v="Larry"/>
    <s v="Wade"/>
    <n v="52"/>
    <x v="0"/>
    <x v="0"/>
    <x v="5"/>
    <d v="2026-04-07T13:57:12"/>
  </r>
  <r>
    <n v="746"/>
    <s v="Gloria"/>
    <s v="Harris"/>
    <n v="49"/>
    <x v="1"/>
    <x v="0"/>
    <x v="7"/>
    <d v="2026-04-07T13:58:06"/>
  </r>
  <r>
    <n v="747"/>
    <s v="Jessica"/>
    <s v="Clark"/>
    <n v="32"/>
    <x v="2"/>
    <x v="5"/>
    <x v="3"/>
    <d v="2026-04-07T13:58:56"/>
  </r>
  <r>
    <n v="748"/>
    <s v="Jose"/>
    <s v="White"/>
    <n v="62"/>
    <x v="0"/>
    <x v="3"/>
    <x v="7"/>
    <d v="2026-04-07T13:59:40"/>
  </r>
  <r>
    <n v="749"/>
    <s v="Ann"/>
    <s v="Watson"/>
    <n v="18"/>
    <x v="2"/>
    <x v="1"/>
    <x v="13"/>
    <d v="2026-04-07T13:59:59"/>
  </r>
  <r>
    <n v="750"/>
    <s v="James"/>
    <s v="Frazier"/>
    <n v="20"/>
    <x v="2"/>
    <x v="3"/>
    <x v="2"/>
    <d v="2026-04-07T14:00:44"/>
  </r>
  <r>
    <n v="751"/>
    <s v="Joanna"/>
    <s v="Waters"/>
    <n v="20"/>
    <x v="1"/>
    <x v="1"/>
    <x v="0"/>
    <d v="2026-04-07T14:01:12"/>
  </r>
  <r>
    <n v="752"/>
    <s v="Leslie"/>
    <s v="Smith"/>
    <n v="38"/>
    <x v="0"/>
    <x v="1"/>
    <x v="10"/>
    <d v="2026-04-07T14:02:12"/>
  </r>
  <r>
    <n v="753"/>
    <s v="Anthony"/>
    <s v="Davis"/>
    <n v="50"/>
    <x v="2"/>
    <x v="3"/>
    <x v="0"/>
    <d v="2026-04-07T14:03:01"/>
  </r>
  <r>
    <n v="754"/>
    <s v="Patricia"/>
    <s v="Wilson"/>
    <n v="33"/>
    <x v="0"/>
    <x v="3"/>
    <x v="16"/>
    <d v="2026-04-07T14:03:54"/>
  </r>
  <r>
    <n v="755"/>
    <s v="Colton"/>
    <s v="Mitchell"/>
    <n v="48"/>
    <x v="1"/>
    <x v="2"/>
    <x v="3"/>
    <d v="2026-04-07T14:04:08"/>
  </r>
  <r>
    <n v="756"/>
    <s v="Roger"/>
    <s v="Sutton"/>
    <n v="55"/>
    <x v="1"/>
    <x v="6"/>
    <x v="15"/>
    <d v="2026-04-07T14:04:40"/>
  </r>
  <r>
    <n v="757"/>
    <s v="Susan"/>
    <s v="Lewis"/>
    <n v="50"/>
    <x v="0"/>
    <x v="3"/>
    <x v="1"/>
    <d v="2026-04-07T14:04:57"/>
  </r>
  <r>
    <n v="758"/>
    <s v="Lisa"/>
    <s v="Rubio"/>
    <n v="55"/>
    <x v="1"/>
    <x v="1"/>
    <x v="15"/>
    <d v="2026-04-07T14:05:23"/>
  </r>
  <r>
    <n v="759"/>
    <s v="Katie"/>
    <s v="Douglas"/>
    <n v="65"/>
    <x v="1"/>
    <x v="2"/>
    <x v="11"/>
    <d v="2026-04-07T14:05:35"/>
  </r>
  <r>
    <n v="760"/>
    <s v="Andrew"/>
    <s v="Underwood"/>
    <n v="41"/>
    <x v="2"/>
    <x v="6"/>
    <x v="0"/>
    <d v="2026-04-07T14:06:11"/>
  </r>
  <r>
    <n v="761"/>
    <s v="Bryan"/>
    <s v="Livingston"/>
    <n v="33"/>
    <x v="2"/>
    <x v="3"/>
    <x v="1"/>
    <d v="2026-04-07T14:06:42"/>
  </r>
  <r>
    <n v="762"/>
    <s v="Peggy"/>
    <s v="Mcbride"/>
    <n v="38"/>
    <x v="0"/>
    <x v="3"/>
    <x v="10"/>
    <d v="2026-04-07T14:07:16"/>
  </r>
  <r>
    <n v="763"/>
    <s v="Tyler"/>
    <s v="Miller"/>
    <n v="56"/>
    <x v="1"/>
    <x v="4"/>
    <x v="2"/>
    <d v="2026-04-07T14:08:16"/>
  </r>
  <r>
    <n v="764"/>
    <s v="Rebekah"/>
    <s v="Mccarty"/>
    <n v="38"/>
    <x v="0"/>
    <x v="6"/>
    <x v="10"/>
    <d v="2026-04-07T14:09:03"/>
  </r>
  <r>
    <n v="765"/>
    <s v="Caroline"/>
    <s v="Santos"/>
    <n v="18"/>
    <x v="2"/>
    <x v="5"/>
    <x v="15"/>
    <d v="2026-04-07T14:09:57"/>
  </r>
  <r>
    <n v="766"/>
    <s v="Michael"/>
    <s v="Mccoy"/>
    <n v="33"/>
    <x v="2"/>
    <x v="4"/>
    <x v="17"/>
    <d v="2026-04-07T14:10:49"/>
  </r>
  <r>
    <n v="767"/>
    <s v="Sarah"/>
    <s v="Davis"/>
    <n v="26"/>
    <x v="1"/>
    <x v="1"/>
    <x v="8"/>
    <d v="2026-04-07T14:11:49"/>
  </r>
  <r>
    <n v="768"/>
    <s v="Raymond"/>
    <s v="Morales"/>
    <n v="34"/>
    <x v="0"/>
    <x v="3"/>
    <x v="3"/>
    <d v="2026-04-07T14:12:07"/>
  </r>
  <r>
    <n v="769"/>
    <s v="Barry"/>
    <s v="Combs"/>
    <n v="53"/>
    <x v="1"/>
    <x v="3"/>
    <x v="8"/>
    <d v="2026-04-07T14:13:00"/>
  </r>
  <r>
    <n v="770"/>
    <s v="Gabriel"/>
    <s v="Medina"/>
    <n v="38"/>
    <x v="2"/>
    <x v="2"/>
    <x v="10"/>
    <d v="2026-04-07T14:13:58"/>
  </r>
  <r>
    <n v="771"/>
    <s v="Michael"/>
    <s v="Lewis"/>
    <n v="44"/>
    <x v="0"/>
    <x v="2"/>
    <x v="18"/>
    <d v="2026-04-07T14:14:49"/>
  </r>
  <r>
    <n v="772"/>
    <s v="Daniel"/>
    <s v="Franklin"/>
    <n v="54"/>
    <x v="0"/>
    <x v="6"/>
    <x v="2"/>
    <d v="2026-04-07T14:15:20"/>
  </r>
  <r>
    <n v="773"/>
    <s v="Allen"/>
    <s v="Sexton"/>
    <n v="35"/>
    <x v="1"/>
    <x v="5"/>
    <x v="13"/>
    <d v="2026-04-07T14:16:04"/>
  </r>
  <r>
    <n v="774"/>
    <s v="Charles"/>
    <s v="Bailey"/>
    <n v="52"/>
    <x v="1"/>
    <x v="2"/>
    <x v="17"/>
    <d v="2026-04-07T14:16:47"/>
  </r>
  <r>
    <n v="775"/>
    <s v="Marco"/>
    <s v="Lane"/>
    <n v="32"/>
    <x v="0"/>
    <x v="3"/>
    <x v="7"/>
    <d v="2026-04-07T14:17:40"/>
  </r>
  <r>
    <n v="776"/>
    <s v="Angela"/>
    <s v="Russell"/>
    <n v="34"/>
    <x v="2"/>
    <x v="1"/>
    <x v="12"/>
    <d v="2026-04-07T14:17:51"/>
  </r>
  <r>
    <n v="777"/>
    <s v="Mark"/>
    <s v="Perkins"/>
    <n v="68"/>
    <x v="2"/>
    <x v="4"/>
    <x v="10"/>
    <d v="2026-04-07T14:18:28"/>
  </r>
  <r>
    <n v="778"/>
    <s v="Amy"/>
    <s v="Patterson"/>
    <n v="59"/>
    <x v="2"/>
    <x v="1"/>
    <x v="2"/>
    <d v="2026-04-07T14:19:19"/>
  </r>
  <r>
    <n v="779"/>
    <s v="Lisa"/>
    <s v="Singh"/>
    <n v="50"/>
    <x v="1"/>
    <x v="4"/>
    <x v="13"/>
    <d v="2026-04-07T14:20:09"/>
  </r>
  <r>
    <n v="780"/>
    <s v="Paul"/>
    <s v="Williams"/>
    <n v="18"/>
    <x v="0"/>
    <x v="2"/>
    <x v="15"/>
    <d v="2026-04-07T14:21:00"/>
  </r>
  <r>
    <n v="781"/>
    <s v="Sabrina"/>
    <s v="Davis"/>
    <n v="69"/>
    <x v="2"/>
    <x v="3"/>
    <x v="5"/>
    <d v="2026-04-07T14:21:18"/>
  </r>
  <r>
    <n v="782"/>
    <s v="Ian"/>
    <s v="Rice"/>
    <n v="47"/>
    <x v="1"/>
    <x v="6"/>
    <x v="10"/>
    <d v="2026-04-07T14:22:01"/>
  </r>
  <r>
    <n v="783"/>
    <s v="Michael"/>
    <s v="Lowe"/>
    <n v="39"/>
    <x v="1"/>
    <x v="1"/>
    <x v="7"/>
    <d v="2026-04-07T14:22:11"/>
  </r>
  <r>
    <n v="784"/>
    <s v="Victor"/>
    <s v="Carter"/>
    <n v="56"/>
    <x v="0"/>
    <x v="3"/>
    <x v="9"/>
    <d v="2026-04-07T14:22:48"/>
  </r>
  <r>
    <n v="785"/>
    <s v="Michaela"/>
    <s v="Grant"/>
    <n v="23"/>
    <x v="2"/>
    <x v="1"/>
    <x v="0"/>
    <d v="2026-04-07T14:23:08"/>
  </r>
  <r>
    <n v="786"/>
    <s v="Brianna"/>
    <s v="Huffman"/>
    <n v="46"/>
    <x v="2"/>
    <x v="0"/>
    <x v="7"/>
    <d v="2026-04-07T14:23:51"/>
  </r>
  <r>
    <n v="787"/>
    <s v="Tanya"/>
    <s v="Mendez"/>
    <n v="58"/>
    <x v="0"/>
    <x v="2"/>
    <x v="10"/>
    <d v="2026-04-07T14:24:40"/>
  </r>
  <r>
    <n v="788"/>
    <s v="Amanda"/>
    <s v="Smith"/>
    <n v="55"/>
    <x v="0"/>
    <x v="6"/>
    <x v="18"/>
    <d v="2026-04-07T14:24:59"/>
  </r>
  <r>
    <n v="789"/>
    <s v="Traci"/>
    <s v="Rivera"/>
    <n v="62"/>
    <x v="0"/>
    <x v="0"/>
    <x v="5"/>
    <d v="2026-04-07T14:25:09"/>
  </r>
  <r>
    <n v="790"/>
    <s v="Stacey"/>
    <s v="Tran"/>
    <n v="18"/>
    <x v="1"/>
    <x v="0"/>
    <x v="0"/>
    <d v="2026-04-07T14:25:28"/>
  </r>
  <r>
    <n v="791"/>
    <s v="Sharon"/>
    <s v="Lyons"/>
    <n v="68"/>
    <x v="1"/>
    <x v="0"/>
    <x v="5"/>
    <d v="2026-04-07T14:25:48"/>
  </r>
  <r>
    <n v="792"/>
    <s v="Karen"/>
    <s v="Robertson"/>
    <n v="24"/>
    <x v="2"/>
    <x v="1"/>
    <x v="10"/>
    <d v="2026-04-07T14:26:17"/>
  </r>
  <r>
    <n v="793"/>
    <s v="Lisa"/>
    <s v="Lee"/>
    <n v="28"/>
    <x v="0"/>
    <x v="2"/>
    <x v="8"/>
    <d v="2026-04-07T14:27:01"/>
  </r>
  <r>
    <n v="794"/>
    <s v="Mackenzie"/>
    <s v="Green"/>
    <n v="45"/>
    <x v="0"/>
    <x v="2"/>
    <x v="14"/>
    <d v="2026-04-07T14:27:44"/>
  </r>
  <r>
    <n v="795"/>
    <s v="Helen"/>
    <s v="Rogers"/>
    <n v="18"/>
    <x v="2"/>
    <x v="2"/>
    <x v="13"/>
    <d v="2026-04-07T14:28:16"/>
  </r>
  <r>
    <n v="796"/>
    <s v="Angela"/>
    <s v="Smith"/>
    <n v="64"/>
    <x v="2"/>
    <x v="1"/>
    <x v="17"/>
    <d v="2026-04-07T14:28:43"/>
  </r>
  <r>
    <n v="797"/>
    <s v="Suzanne"/>
    <s v="Greene"/>
    <n v="27"/>
    <x v="0"/>
    <x v="0"/>
    <x v="5"/>
    <d v="2026-04-07T14:28:53"/>
  </r>
  <r>
    <n v="798"/>
    <s v="Valerie"/>
    <s v="Anderson"/>
    <n v="67"/>
    <x v="2"/>
    <x v="2"/>
    <x v="1"/>
    <d v="2026-04-07T14:29:50"/>
  </r>
  <r>
    <n v="799"/>
    <s v="Joanna"/>
    <s v="Sanchez"/>
    <n v="28"/>
    <x v="2"/>
    <x v="6"/>
    <x v="16"/>
    <d v="2026-04-07T14:30:27"/>
  </r>
  <r>
    <n v="800"/>
    <s v="Denise"/>
    <s v="Robles"/>
    <n v="64"/>
    <x v="1"/>
    <x v="6"/>
    <x v="19"/>
    <d v="2026-04-07T14:30:48"/>
  </r>
  <r>
    <n v="801"/>
    <s v="Adam"/>
    <s v="Costa"/>
    <n v="57"/>
    <x v="0"/>
    <x v="2"/>
    <x v="4"/>
    <d v="2026-04-07T14:31:10"/>
  </r>
  <r>
    <n v="802"/>
    <s v="Amy"/>
    <s v="Hahn"/>
    <n v="37"/>
    <x v="2"/>
    <x v="6"/>
    <x v="13"/>
    <d v="2026-04-07T14:31:48"/>
  </r>
  <r>
    <n v="803"/>
    <s v="Jeremy"/>
    <s v="Nguyen"/>
    <n v="18"/>
    <x v="1"/>
    <x v="2"/>
    <x v="1"/>
    <d v="2026-04-07T14:32:06"/>
  </r>
  <r>
    <n v="804"/>
    <s v="Barbara"/>
    <s v="Christian"/>
    <n v="38"/>
    <x v="0"/>
    <x v="5"/>
    <x v="6"/>
    <d v="2026-04-07T14:32:26"/>
  </r>
  <r>
    <n v="805"/>
    <s v="Jade"/>
    <s v="Simpson"/>
    <n v="33"/>
    <x v="0"/>
    <x v="6"/>
    <x v="19"/>
    <d v="2026-04-07T14:33:18"/>
  </r>
  <r>
    <n v="806"/>
    <s v="John"/>
    <s v="Wyatt"/>
    <n v="41"/>
    <x v="1"/>
    <x v="6"/>
    <x v="8"/>
    <d v="2026-04-07T14:33:29"/>
  </r>
  <r>
    <n v="807"/>
    <s v="David"/>
    <s v="Porter"/>
    <n v="34"/>
    <x v="0"/>
    <x v="0"/>
    <x v="13"/>
    <d v="2026-04-07T14:34:06"/>
  </r>
  <r>
    <n v="808"/>
    <s v="Mary"/>
    <s v="Smith"/>
    <n v="32"/>
    <x v="1"/>
    <x v="2"/>
    <x v="9"/>
    <d v="2026-04-09T12:59:34"/>
  </r>
  <r>
    <n v="809"/>
    <s v="Jill"/>
    <s v="Howell"/>
    <n v="28"/>
    <x v="2"/>
    <x v="6"/>
    <x v="0"/>
    <d v="2026-04-09T13:00:02"/>
  </r>
  <r>
    <n v="810"/>
    <s v="Cindy"/>
    <s v="Diaz"/>
    <n v="40"/>
    <x v="1"/>
    <x v="4"/>
    <x v="2"/>
    <d v="2026-04-09T13:00:51"/>
  </r>
  <r>
    <n v="811"/>
    <s v="Richard"/>
    <s v="Frey"/>
    <n v="53"/>
    <x v="1"/>
    <x v="1"/>
    <x v="15"/>
    <d v="2026-04-09T13:01:23"/>
  </r>
  <r>
    <n v="812"/>
    <s v="Aaron"/>
    <s v="Cook"/>
    <n v="32"/>
    <x v="1"/>
    <x v="1"/>
    <x v="1"/>
    <d v="2026-04-09T13:01:52"/>
  </r>
  <r>
    <n v="813"/>
    <s v="John"/>
    <s v="Young"/>
    <n v="49"/>
    <x v="1"/>
    <x v="1"/>
    <x v="9"/>
    <d v="2026-04-09T13:02:53"/>
  </r>
  <r>
    <n v="814"/>
    <s v="Evelyn"/>
    <s v="Perez"/>
    <n v="30"/>
    <x v="1"/>
    <x v="6"/>
    <x v="13"/>
    <d v="2026-04-09T13:03:20"/>
  </r>
  <r>
    <n v="815"/>
    <s v="Lee"/>
    <s v="Tanner"/>
    <n v="33"/>
    <x v="1"/>
    <x v="6"/>
    <x v="4"/>
    <d v="2026-04-09T13:03:51"/>
  </r>
  <r>
    <n v="816"/>
    <s v="Michael"/>
    <s v="Martinez"/>
    <n v="18"/>
    <x v="0"/>
    <x v="6"/>
    <x v="15"/>
    <d v="2026-04-09T13:04:13"/>
  </r>
  <r>
    <n v="817"/>
    <s v="Ryan"/>
    <s v="Leon"/>
    <n v="39"/>
    <x v="2"/>
    <x v="6"/>
    <x v="19"/>
    <d v="2026-04-09T13:04:54"/>
  </r>
  <r>
    <n v="818"/>
    <s v="Donald"/>
    <s v="Ramsey"/>
    <n v="62"/>
    <x v="1"/>
    <x v="4"/>
    <x v="10"/>
    <d v="2026-04-09T13:05:34"/>
  </r>
  <r>
    <n v="819"/>
    <s v="David"/>
    <s v="James"/>
    <n v="55"/>
    <x v="2"/>
    <x v="6"/>
    <x v="9"/>
    <d v="2026-04-09T13:06:18"/>
  </r>
  <r>
    <n v="820"/>
    <s v="Rebecca"/>
    <s v="Stone"/>
    <n v="57"/>
    <x v="0"/>
    <x v="4"/>
    <x v="13"/>
    <d v="2026-04-09T13:07:17"/>
  </r>
  <r>
    <n v="821"/>
    <s v="Ariel"/>
    <s v="Garcia"/>
    <n v="63"/>
    <x v="0"/>
    <x v="1"/>
    <x v="12"/>
    <d v="2026-04-09T13:07:47"/>
  </r>
  <r>
    <n v="822"/>
    <s v="Kylie"/>
    <s v="Garcia"/>
    <n v="33"/>
    <x v="0"/>
    <x v="3"/>
    <x v="0"/>
    <d v="2026-04-09T13:08:31"/>
  </r>
  <r>
    <n v="823"/>
    <s v="Michael"/>
    <s v="Gross"/>
    <n v="65"/>
    <x v="2"/>
    <x v="6"/>
    <x v="3"/>
    <d v="2026-04-09T13:08:53"/>
  </r>
  <r>
    <n v="824"/>
    <s v="Cynthia"/>
    <s v="Sanchez"/>
    <n v="41"/>
    <x v="0"/>
    <x v="1"/>
    <x v="18"/>
    <d v="2026-04-09T13:09:45"/>
  </r>
  <r>
    <n v="825"/>
    <s v="Dylan"/>
    <s v="Torres"/>
    <n v="21"/>
    <x v="0"/>
    <x v="5"/>
    <x v="6"/>
    <d v="2026-04-09T13:09:58"/>
  </r>
  <r>
    <n v="826"/>
    <s v="Sandra"/>
    <s v="Casey"/>
    <n v="42"/>
    <x v="0"/>
    <x v="3"/>
    <x v="12"/>
    <d v="2026-04-09T13:10:17"/>
  </r>
  <r>
    <n v="827"/>
    <s v="Jeremiah"/>
    <s v="Coleman"/>
    <n v="40"/>
    <x v="1"/>
    <x v="1"/>
    <x v="8"/>
    <d v="2026-04-09T13:11:13"/>
  </r>
  <r>
    <n v="828"/>
    <s v="Amber"/>
    <s v="Robbins"/>
    <n v="40"/>
    <x v="0"/>
    <x v="5"/>
    <x v="1"/>
    <d v="2026-04-09T13:11:48"/>
  </r>
  <r>
    <n v="829"/>
    <s v="Deborah"/>
    <s v="Tran"/>
    <n v="26"/>
    <x v="2"/>
    <x v="4"/>
    <x v="1"/>
    <d v="2026-04-09T13:34:13"/>
  </r>
  <r>
    <n v="830"/>
    <s v="David"/>
    <s v="Campbell"/>
    <n v="34"/>
    <x v="0"/>
    <x v="1"/>
    <x v="9"/>
    <d v="2026-04-09T13:34:32"/>
  </r>
  <r>
    <n v="831"/>
    <s v="Kendra"/>
    <s v="Gonzalez"/>
    <n v="33"/>
    <x v="1"/>
    <x v="6"/>
    <x v="2"/>
    <d v="2026-04-09T13:35:15"/>
  </r>
  <r>
    <n v="832"/>
    <s v="Samuel"/>
    <s v="Brooks"/>
    <n v="60"/>
    <x v="1"/>
    <x v="5"/>
    <x v="17"/>
    <d v="2026-04-09T13:36:03"/>
  </r>
  <r>
    <n v="833"/>
    <s v="Kathryn"/>
    <s v="Benton"/>
    <n v="58"/>
    <x v="2"/>
    <x v="0"/>
    <x v="13"/>
    <d v="2026-04-09T13:36:16"/>
  </r>
  <r>
    <n v="834"/>
    <s v="Laura"/>
    <s v="Anderson"/>
    <n v="69"/>
    <x v="0"/>
    <x v="4"/>
    <x v="8"/>
    <d v="2026-04-09T13:36:31"/>
  </r>
  <r>
    <n v="835"/>
    <s v="Christina"/>
    <s v="Hoffman"/>
    <n v="36"/>
    <x v="2"/>
    <x v="3"/>
    <x v="0"/>
    <d v="2026-04-09T13:37:01"/>
  </r>
  <r>
    <n v="836"/>
    <s v="Jacob"/>
    <s v="Williams"/>
    <n v="53"/>
    <x v="0"/>
    <x v="2"/>
    <x v="0"/>
    <d v="2026-04-09T13:37:37"/>
  </r>
  <r>
    <n v="837"/>
    <s v="Ashley"/>
    <s v="Mclaughlin"/>
    <n v="53"/>
    <x v="1"/>
    <x v="1"/>
    <x v="11"/>
    <d v="2026-04-09T13:38:24"/>
  </r>
  <r>
    <n v="838"/>
    <s v="Martin"/>
    <s v="Johnson"/>
    <n v="36"/>
    <x v="0"/>
    <x v="2"/>
    <x v="7"/>
    <d v="2026-04-09T13:39:13"/>
  </r>
  <r>
    <n v="839"/>
    <s v="James"/>
    <s v="Branch"/>
    <n v="57"/>
    <x v="0"/>
    <x v="1"/>
    <x v="17"/>
    <d v="2026-04-09T13:39:46"/>
  </r>
  <r>
    <n v="840"/>
    <s v="Joshua"/>
    <s v="Brown"/>
    <n v="19"/>
    <x v="1"/>
    <x v="1"/>
    <x v="16"/>
    <d v="2026-04-09T13:40:38"/>
  </r>
  <r>
    <n v="841"/>
    <s v="Mitchell"/>
    <s v="Bryant"/>
    <n v="43"/>
    <x v="1"/>
    <x v="2"/>
    <x v="2"/>
    <d v="2026-04-09T13:40:53"/>
  </r>
  <r>
    <n v="842"/>
    <s v="Melinda"/>
    <s v="Ball"/>
    <n v="26"/>
    <x v="1"/>
    <x v="4"/>
    <x v="6"/>
    <d v="2026-04-09T13:41:33"/>
  </r>
  <r>
    <n v="843"/>
    <s v="Kyle"/>
    <s v="James"/>
    <n v="48"/>
    <x v="0"/>
    <x v="3"/>
    <x v="10"/>
    <d v="2026-04-09T13:42:10"/>
  </r>
  <r>
    <n v="844"/>
    <s v="Tina"/>
    <s v="Sanchez"/>
    <n v="20"/>
    <x v="2"/>
    <x v="6"/>
    <x v="13"/>
    <d v="2026-04-09T13:42:39"/>
  </r>
  <r>
    <n v="845"/>
    <s v="Phyllis"/>
    <s v="Crawford"/>
    <n v="29"/>
    <x v="0"/>
    <x v="2"/>
    <x v="1"/>
    <d v="2026-04-09T13:42:56"/>
  </r>
  <r>
    <n v="846"/>
    <s v="Samantha"/>
    <s v="Cohen"/>
    <n v="27"/>
    <x v="1"/>
    <x v="6"/>
    <x v="11"/>
    <d v="2026-04-09T13:43:39"/>
  </r>
  <r>
    <n v="847"/>
    <s v="Seth"/>
    <s v="Hill"/>
    <n v="25"/>
    <x v="2"/>
    <x v="6"/>
    <x v="14"/>
    <d v="2026-04-09T13:44:07"/>
  </r>
  <r>
    <n v="848"/>
    <s v="Stuart"/>
    <s v="Mccoy"/>
    <n v="54"/>
    <x v="1"/>
    <x v="5"/>
    <x v="3"/>
    <d v="2026-04-09T13:44:29"/>
  </r>
  <r>
    <n v="849"/>
    <s v="Carrie"/>
    <s v="Henson"/>
    <n v="44"/>
    <x v="2"/>
    <x v="3"/>
    <x v="3"/>
    <d v="2026-04-09T13:44:47"/>
  </r>
  <r>
    <n v="850"/>
    <s v="Jason"/>
    <s v="Mcmillan"/>
    <n v="67"/>
    <x v="2"/>
    <x v="1"/>
    <x v="9"/>
    <d v="2026-04-09T13:45:14"/>
  </r>
  <r>
    <n v="851"/>
    <s v="Jessica"/>
    <s v="Brown"/>
    <n v="28"/>
    <x v="1"/>
    <x v="1"/>
    <x v="2"/>
    <d v="2026-04-09T13:45:46"/>
  </r>
  <r>
    <n v="852"/>
    <s v="Richard"/>
    <s v="Hicks"/>
    <n v="66"/>
    <x v="0"/>
    <x v="5"/>
    <x v="1"/>
    <d v="2026-04-09T13:46:45"/>
  </r>
  <r>
    <n v="853"/>
    <s v="Krystal"/>
    <s v="Hernandez"/>
    <n v="38"/>
    <x v="1"/>
    <x v="1"/>
    <x v="10"/>
    <d v="2026-04-09T13:47:16"/>
  </r>
  <r>
    <n v="854"/>
    <s v="Cody"/>
    <s v="Walker"/>
    <n v="24"/>
    <x v="2"/>
    <x v="2"/>
    <x v="6"/>
    <d v="2026-04-09T13:47:46"/>
  </r>
  <r>
    <n v="855"/>
    <s v="Crystal"/>
    <s v="Mitchell"/>
    <n v="68"/>
    <x v="1"/>
    <x v="5"/>
    <x v="14"/>
    <d v="2026-04-09T13:48:39"/>
  </r>
  <r>
    <n v="856"/>
    <s v="Shane"/>
    <s v="Castro"/>
    <n v="20"/>
    <x v="1"/>
    <x v="3"/>
    <x v="7"/>
    <d v="2026-04-09T13:49:12"/>
  </r>
  <r>
    <n v="857"/>
    <s v="Anthony"/>
    <s v="Adams"/>
    <n v="65"/>
    <x v="1"/>
    <x v="6"/>
    <x v="11"/>
    <d v="2026-04-09T13:50:03"/>
  </r>
  <r>
    <n v="858"/>
    <s v="Martha"/>
    <s v="Acosta"/>
    <n v="48"/>
    <x v="2"/>
    <x v="0"/>
    <x v="6"/>
    <d v="2026-04-09T13:51:03"/>
  </r>
  <r>
    <n v="859"/>
    <s v="James"/>
    <s v="Frazier"/>
    <n v="39"/>
    <x v="0"/>
    <x v="5"/>
    <x v="4"/>
    <d v="2026-04-09T13:51:31"/>
  </r>
  <r>
    <n v="860"/>
    <s v="Paul"/>
    <s v="Griffith"/>
    <n v="63"/>
    <x v="0"/>
    <x v="6"/>
    <x v="11"/>
    <d v="2026-04-09T13:51:46"/>
  </r>
  <r>
    <n v="861"/>
    <s v="Sheila"/>
    <s v="Herrera"/>
    <n v="21"/>
    <x v="0"/>
    <x v="0"/>
    <x v="5"/>
    <d v="2026-04-09T13:52:04"/>
  </r>
  <r>
    <n v="862"/>
    <s v="Stephen"/>
    <s v="Sanchez"/>
    <n v="54"/>
    <x v="2"/>
    <x v="3"/>
    <x v="13"/>
    <d v="2026-04-09T13:52:56"/>
  </r>
  <r>
    <n v="863"/>
    <s v="Debra"/>
    <s v="Harrison"/>
    <n v="58"/>
    <x v="0"/>
    <x v="5"/>
    <x v="19"/>
    <d v="2026-04-09T13:53:46"/>
  </r>
  <r>
    <n v="864"/>
    <s v="Frederick"/>
    <s v="Miller"/>
    <n v="21"/>
    <x v="1"/>
    <x v="0"/>
    <x v="19"/>
    <d v="2026-04-09T13:53:59"/>
  </r>
  <r>
    <n v="865"/>
    <s v="Patricia"/>
    <s v="Blair"/>
    <n v="26"/>
    <x v="2"/>
    <x v="1"/>
    <x v="4"/>
    <d v="2026-04-09T13:54:49"/>
  </r>
  <r>
    <n v="866"/>
    <s v="Nathan"/>
    <s v="Lowery"/>
    <n v="38"/>
    <x v="2"/>
    <x v="4"/>
    <x v="6"/>
    <d v="2026-04-09T13:55:41"/>
  </r>
  <r>
    <n v="867"/>
    <s v="Brandon"/>
    <s v="Ibarra"/>
    <n v="46"/>
    <x v="2"/>
    <x v="3"/>
    <x v="13"/>
    <d v="2026-04-09T13:56:33"/>
  </r>
  <r>
    <n v="868"/>
    <s v="Wesley"/>
    <s v="Duke"/>
    <n v="34"/>
    <x v="2"/>
    <x v="2"/>
    <x v="16"/>
    <d v="2026-04-09T13:57:29"/>
  </r>
  <r>
    <n v="869"/>
    <s v="Kathy"/>
    <s v="Myers"/>
    <n v="28"/>
    <x v="1"/>
    <x v="2"/>
    <x v="5"/>
    <d v="2026-04-09T13:58:26"/>
  </r>
  <r>
    <n v="870"/>
    <s v="Darryl"/>
    <s v="Davis"/>
    <n v="27"/>
    <x v="2"/>
    <x v="6"/>
    <x v="10"/>
    <d v="2026-04-09T13:58:57"/>
  </r>
  <r>
    <n v="871"/>
    <s v="Brandon"/>
    <s v="Martin"/>
    <n v="36"/>
    <x v="2"/>
    <x v="0"/>
    <x v="8"/>
    <d v="2026-04-09T13:59:23"/>
  </r>
  <r>
    <n v="872"/>
    <s v="Jennifer"/>
    <s v="Shaffer"/>
    <n v="65"/>
    <x v="0"/>
    <x v="6"/>
    <x v="2"/>
    <d v="2026-04-09T13:59:58"/>
  </r>
  <r>
    <n v="873"/>
    <s v="Jerry"/>
    <s v="Andrews"/>
    <n v="44"/>
    <x v="1"/>
    <x v="0"/>
    <x v="2"/>
    <d v="2026-04-09T14:00:18"/>
  </r>
  <r>
    <n v="874"/>
    <s v="William"/>
    <s v="Williams"/>
    <n v="53"/>
    <x v="0"/>
    <x v="3"/>
    <x v="2"/>
    <d v="2026-04-09T14:00:34"/>
  </r>
  <r>
    <n v="875"/>
    <s v="Rebecca"/>
    <s v="Benson"/>
    <n v="52"/>
    <x v="1"/>
    <x v="4"/>
    <x v="4"/>
    <d v="2026-04-09T14:00:46"/>
  </r>
  <r>
    <n v="876"/>
    <s v="Justin"/>
    <s v="Conner"/>
    <n v="55"/>
    <x v="0"/>
    <x v="2"/>
    <x v="13"/>
    <d v="2026-04-09T14:01:29"/>
  </r>
  <r>
    <n v="877"/>
    <s v="James"/>
    <s v="Smith"/>
    <n v="58"/>
    <x v="2"/>
    <x v="4"/>
    <x v="19"/>
    <d v="2026-04-09T14:02:09"/>
  </r>
  <r>
    <n v="878"/>
    <s v="Briana"/>
    <s v="Green"/>
    <n v="66"/>
    <x v="0"/>
    <x v="5"/>
    <x v="8"/>
    <d v="2026-04-09T14:02:38"/>
  </r>
  <r>
    <n v="879"/>
    <s v="Brian"/>
    <s v="Smith"/>
    <n v="24"/>
    <x v="1"/>
    <x v="6"/>
    <x v="1"/>
    <d v="2026-04-09T14:03:19"/>
  </r>
  <r>
    <n v="880"/>
    <s v="Kevin"/>
    <s v="Fry"/>
    <n v="64"/>
    <x v="2"/>
    <x v="6"/>
    <x v="14"/>
    <d v="2026-04-09T14:03:54"/>
  </r>
  <r>
    <n v="881"/>
    <s v="Shawn"/>
    <s v="Reese"/>
    <n v="47"/>
    <x v="2"/>
    <x v="3"/>
    <x v="8"/>
    <d v="2026-04-09T14:04:52"/>
  </r>
  <r>
    <n v="882"/>
    <s v="Henry"/>
    <s v="Reid"/>
    <n v="63"/>
    <x v="2"/>
    <x v="0"/>
    <x v="15"/>
    <d v="2026-04-09T14:05:22"/>
  </r>
  <r>
    <n v="883"/>
    <s v="Ivan"/>
    <s v="Wells"/>
    <n v="31"/>
    <x v="2"/>
    <x v="6"/>
    <x v="13"/>
    <d v="2026-04-09T14:06:03"/>
  </r>
  <r>
    <n v="884"/>
    <s v="Emily"/>
    <s v="Rangel"/>
    <n v="28"/>
    <x v="1"/>
    <x v="1"/>
    <x v="16"/>
    <d v="2026-04-09T14:06:39"/>
  </r>
  <r>
    <n v="885"/>
    <s v="Brian"/>
    <s v="Davis"/>
    <n v="25"/>
    <x v="1"/>
    <x v="2"/>
    <x v="3"/>
    <d v="2026-04-09T14:07:11"/>
  </r>
  <r>
    <n v="886"/>
    <s v="Shannon"/>
    <s v="Paul"/>
    <n v="65"/>
    <x v="2"/>
    <x v="6"/>
    <x v="15"/>
    <d v="2026-04-09T14:07:33"/>
  </r>
  <r>
    <n v="887"/>
    <s v="Cristina"/>
    <s v="Hansen"/>
    <n v="29"/>
    <x v="2"/>
    <x v="2"/>
    <x v="18"/>
    <d v="2026-04-09T14:08:25"/>
  </r>
  <r>
    <n v="888"/>
    <s v="Matthew"/>
    <s v="Patterson"/>
    <n v="45"/>
    <x v="2"/>
    <x v="5"/>
    <x v="17"/>
    <d v="2026-04-09T14:09:02"/>
  </r>
  <r>
    <n v="889"/>
    <s v="Louis"/>
    <s v="Wolfe"/>
    <n v="38"/>
    <x v="0"/>
    <x v="3"/>
    <x v="12"/>
    <d v="2026-04-09T14:09:46"/>
  </r>
  <r>
    <n v="890"/>
    <s v="Robert"/>
    <s v="Acevedo"/>
    <n v="59"/>
    <x v="2"/>
    <x v="4"/>
    <x v="13"/>
    <d v="2026-04-09T14:10:32"/>
  </r>
  <r>
    <n v="891"/>
    <s v="Chelsea"/>
    <s v="Johnson"/>
    <n v="42"/>
    <x v="1"/>
    <x v="2"/>
    <x v="15"/>
    <d v="2026-04-09T14:11:12"/>
  </r>
  <r>
    <n v="892"/>
    <s v="Elizabeth"/>
    <s v="Cantrell"/>
    <n v="46"/>
    <x v="1"/>
    <x v="4"/>
    <x v="13"/>
    <d v="2026-04-09T14:11:26"/>
  </r>
  <r>
    <n v="893"/>
    <s v="Thomas"/>
    <s v="Randall"/>
    <n v="27"/>
    <x v="1"/>
    <x v="6"/>
    <x v="11"/>
    <d v="2026-04-09T14:11:46"/>
  </r>
  <r>
    <n v="894"/>
    <s v="Juan"/>
    <s v="Wilson"/>
    <n v="29"/>
    <x v="1"/>
    <x v="1"/>
    <x v="15"/>
    <d v="2026-04-09T14:12:36"/>
  </r>
  <r>
    <n v="895"/>
    <s v="Joe"/>
    <s v="Bonilla"/>
    <n v="42"/>
    <x v="2"/>
    <x v="6"/>
    <x v="16"/>
    <d v="2026-04-09T14:13:10"/>
  </r>
  <r>
    <n v="896"/>
    <s v="Vanessa"/>
    <s v="Olson"/>
    <n v="39"/>
    <x v="0"/>
    <x v="5"/>
    <x v="13"/>
    <d v="2026-04-09T14:13:33"/>
  </r>
  <r>
    <n v="897"/>
    <s v="Jim"/>
    <s v="Smith"/>
    <n v="21"/>
    <x v="2"/>
    <x v="3"/>
    <x v="10"/>
    <d v="2026-04-09T14:14:10"/>
  </r>
  <r>
    <n v="898"/>
    <s v="Laura"/>
    <s v="Fernandez"/>
    <n v="55"/>
    <x v="0"/>
    <x v="0"/>
    <x v="14"/>
    <d v="2026-04-09T14:15:08"/>
  </r>
  <r>
    <n v="899"/>
    <s v="Nicholas"/>
    <s v="Trujillo"/>
    <n v="24"/>
    <x v="0"/>
    <x v="0"/>
    <x v="14"/>
    <d v="2026-04-09T14:15:37"/>
  </r>
  <r>
    <n v="900"/>
    <s v="Kenneth"/>
    <s v="Williams"/>
    <n v="55"/>
    <x v="2"/>
    <x v="4"/>
    <x v="1"/>
    <d v="2026-04-09T14:16:23"/>
  </r>
  <r>
    <n v="901"/>
    <s v="Breanna"/>
    <s v="Mendez"/>
    <n v="51"/>
    <x v="1"/>
    <x v="4"/>
    <x v="14"/>
    <d v="2026-04-09T14:17:13"/>
  </r>
  <r>
    <n v="902"/>
    <s v="Joseph"/>
    <s v="Davis"/>
    <n v="23"/>
    <x v="2"/>
    <x v="4"/>
    <x v="14"/>
    <d v="2026-04-09T14:17:29"/>
  </r>
  <r>
    <n v="903"/>
    <s v="Eric"/>
    <s v="Ramos"/>
    <n v="40"/>
    <x v="1"/>
    <x v="3"/>
    <x v="7"/>
    <d v="2026-04-09T14:18:21"/>
  </r>
  <r>
    <n v="904"/>
    <s v="Mark"/>
    <s v="Bennett"/>
    <n v="65"/>
    <x v="2"/>
    <x v="5"/>
    <x v="10"/>
    <d v="2026-04-09T14:18:44"/>
  </r>
  <r>
    <n v="905"/>
    <s v="Amanda"/>
    <s v="Strong"/>
    <n v="28"/>
    <x v="1"/>
    <x v="5"/>
    <x v="9"/>
    <d v="2026-04-09T14:19:22"/>
  </r>
  <r>
    <n v="906"/>
    <s v="Kathleen"/>
    <s v="Robertson"/>
    <n v="59"/>
    <x v="1"/>
    <x v="2"/>
    <x v="1"/>
    <d v="2026-04-09T14:20:17"/>
  </r>
  <r>
    <n v="907"/>
    <s v="Karen"/>
    <s v="Fritz"/>
    <n v="38"/>
    <x v="1"/>
    <x v="6"/>
    <x v="19"/>
    <d v="2026-04-09T14:22:00"/>
  </r>
  <r>
    <n v="908"/>
    <s v="Gary"/>
    <s v="Garrett"/>
    <n v="49"/>
    <x v="2"/>
    <x v="2"/>
    <x v="16"/>
    <d v="2026-04-10T14:00:22"/>
  </r>
  <r>
    <n v="909"/>
    <s v="Debra"/>
    <s v="Waller"/>
    <n v="30"/>
    <x v="2"/>
    <x v="4"/>
    <x v="14"/>
    <d v="2026-04-10T14:01:14"/>
  </r>
  <r>
    <n v="910"/>
    <s v="Ryan"/>
    <s v="Spencer"/>
    <n v="53"/>
    <x v="1"/>
    <x v="5"/>
    <x v="11"/>
    <d v="2026-04-10T14:01:53"/>
  </r>
  <r>
    <n v="911"/>
    <s v="Shane"/>
    <s v="Garrett"/>
    <n v="69"/>
    <x v="0"/>
    <x v="4"/>
    <x v="8"/>
    <d v="2026-04-10T14:02:10"/>
  </r>
  <r>
    <n v="912"/>
    <s v="Brenda"/>
    <s v="Smith"/>
    <n v="60"/>
    <x v="1"/>
    <x v="3"/>
    <x v="1"/>
    <d v="2026-04-10T14:02:59"/>
  </r>
  <r>
    <n v="913"/>
    <s v="Elizabeth"/>
    <s v="Cunningham"/>
    <n v="59"/>
    <x v="0"/>
    <x v="1"/>
    <x v="12"/>
    <d v="2026-04-10T14:03:56"/>
  </r>
  <r>
    <n v="914"/>
    <s v="Miguel"/>
    <s v="Duffy"/>
    <n v="51"/>
    <x v="0"/>
    <x v="1"/>
    <x v="7"/>
    <d v="2026-04-10T14:04:21"/>
  </r>
  <r>
    <n v="915"/>
    <s v="Adam"/>
    <s v="Gonzalez"/>
    <n v="60"/>
    <x v="1"/>
    <x v="4"/>
    <x v="9"/>
    <d v="2026-04-10T14:04:56"/>
  </r>
  <r>
    <n v="916"/>
    <s v="Steven"/>
    <s v="Smith"/>
    <n v="47"/>
    <x v="0"/>
    <x v="6"/>
    <x v="18"/>
    <d v="2026-04-10T14:05:13"/>
  </r>
  <r>
    <n v="917"/>
    <s v="William"/>
    <s v="Turner"/>
    <n v="19"/>
    <x v="1"/>
    <x v="0"/>
    <x v="14"/>
    <d v="2026-04-10T14:05:43"/>
  </r>
  <r>
    <n v="918"/>
    <s v="Michael"/>
    <s v="Jones"/>
    <n v="69"/>
    <x v="2"/>
    <x v="5"/>
    <x v="14"/>
    <d v="2026-04-10T14:06:04"/>
  </r>
  <r>
    <n v="919"/>
    <s v="Sara"/>
    <s v="Crawford"/>
    <n v="44"/>
    <x v="0"/>
    <x v="3"/>
    <x v="2"/>
    <d v="2026-04-10T14:06:47"/>
  </r>
  <r>
    <n v="920"/>
    <s v="Laura"/>
    <s v="Young"/>
    <n v="64"/>
    <x v="2"/>
    <x v="2"/>
    <x v="12"/>
    <d v="2026-04-10T14:07:13"/>
  </r>
  <r>
    <n v="921"/>
    <s v="Aaron"/>
    <s v="Nielsen"/>
    <n v="68"/>
    <x v="0"/>
    <x v="2"/>
    <x v="17"/>
    <d v="2026-04-10T14:08:11"/>
  </r>
  <r>
    <n v="922"/>
    <s v="Stephanie"/>
    <s v="Weber"/>
    <n v="58"/>
    <x v="0"/>
    <x v="3"/>
    <x v="8"/>
    <d v="2026-04-10T14:08:22"/>
  </r>
  <r>
    <n v="923"/>
    <s v="Kari"/>
    <s v="Daniels"/>
    <n v="20"/>
    <x v="0"/>
    <x v="1"/>
    <x v="6"/>
    <d v="2026-04-10T14:08:42"/>
  </r>
  <r>
    <n v="924"/>
    <s v="Crystal"/>
    <s v="Morgan"/>
    <n v="20"/>
    <x v="2"/>
    <x v="1"/>
    <x v="8"/>
    <d v="2026-04-10T14:09:23"/>
  </r>
  <r>
    <n v="925"/>
    <s v="Christopher"/>
    <s v="Clark"/>
    <n v="70"/>
    <x v="2"/>
    <x v="0"/>
    <x v="15"/>
    <d v="2026-04-10T14:10:08"/>
  </r>
  <r>
    <n v="926"/>
    <s v="Thomas"/>
    <s v="Little"/>
    <n v="54"/>
    <x v="0"/>
    <x v="5"/>
    <x v="11"/>
    <d v="2026-04-10T14:10:37"/>
  </r>
  <r>
    <n v="927"/>
    <s v="Diana"/>
    <s v="Stafford"/>
    <n v="43"/>
    <x v="0"/>
    <x v="1"/>
    <x v="5"/>
    <d v="2026-04-10T14:11:28"/>
  </r>
  <r>
    <n v="928"/>
    <s v="Kathleen"/>
    <s v="Smith"/>
    <n v="22"/>
    <x v="1"/>
    <x v="1"/>
    <x v="14"/>
    <d v="2026-04-10T14:11:38"/>
  </r>
  <r>
    <n v="929"/>
    <s v="James"/>
    <s v="Armstrong"/>
    <n v="32"/>
    <x v="2"/>
    <x v="6"/>
    <x v="10"/>
    <d v="2026-04-10T14:12:18"/>
  </r>
  <r>
    <n v="930"/>
    <s v="Jennifer"/>
    <s v="Jones"/>
    <n v="42"/>
    <x v="1"/>
    <x v="1"/>
    <x v="11"/>
    <d v="2026-04-10T14:13:03"/>
  </r>
  <r>
    <n v="931"/>
    <s v="Rachel"/>
    <s v="Hancock"/>
    <n v="44"/>
    <x v="1"/>
    <x v="2"/>
    <x v="12"/>
    <d v="2026-04-10T14:13:23"/>
  </r>
  <r>
    <n v="932"/>
    <s v="Jennifer"/>
    <s v="Logan"/>
    <n v="64"/>
    <x v="1"/>
    <x v="5"/>
    <x v="2"/>
    <d v="2026-04-10T14:13:46"/>
  </r>
  <r>
    <n v="933"/>
    <s v="Caitlyn"/>
    <s v="Glass"/>
    <n v="53"/>
    <x v="0"/>
    <x v="0"/>
    <x v="18"/>
    <d v="2026-04-10T14:14:24"/>
  </r>
  <r>
    <n v="934"/>
    <s v="Holly"/>
    <s v="Morrison"/>
    <n v="27"/>
    <x v="0"/>
    <x v="0"/>
    <x v="6"/>
    <d v="2026-04-10T14:14:51"/>
  </r>
  <r>
    <n v="935"/>
    <s v="Olivia"/>
    <s v="Thomas"/>
    <n v="24"/>
    <x v="2"/>
    <x v="4"/>
    <x v="10"/>
    <d v="2026-04-10T14:15:04"/>
  </r>
  <r>
    <n v="936"/>
    <s v="Joshua"/>
    <s v="Hodges"/>
    <n v="63"/>
    <x v="1"/>
    <x v="1"/>
    <x v="10"/>
    <d v="2026-04-10T14:15:44"/>
  </r>
  <r>
    <n v="937"/>
    <s v="Adrienne"/>
    <s v="Simpson"/>
    <n v="33"/>
    <x v="2"/>
    <x v="5"/>
    <x v="9"/>
    <d v="2026-04-10T14:16:19"/>
  </r>
  <r>
    <n v="938"/>
    <s v="Stacey"/>
    <s v="Bauer"/>
    <n v="18"/>
    <x v="2"/>
    <x v="5"/>
    <x v="9"/>
    <d v="2026-04-10T14:16:41"/>
  </r>
  <r>
    <n v="939"/>
    <s v="Jacqueline"/>
    <s v="Gomez"/>
    <n v="27"/>
    <x v="2"/>
    <x v="0"/>
    <x v="1"/>
    <d v="2026-04-10T14:17:23"/>
  </r>
  <r>
    <n v="940"/>
    <s v="Larry"/>
    <s v="Glover"/>
    <n v="39"/>
    <x v="0"/>
    <x v="2"/>
    <x v="0"/>
    <d v="2026-04-10T14:18:01"/>
  </r>
  <r>
    <n v="941"/>
    <s v="Lucas"/>
    <s v="Mercer"/>
    <n v="58"/>
    <x v="0"/>
    <x v="5"/>
    <x v="19"/>
    <d v="2026-04-10T14:18:51"/>
  </r>
  <r>
    <n v="942"/>
    <s v="Stuart"/>
    <s v="Rocha"/>
    <n v="27"/>
    <x v="0"/>
    <x v="1"/>
    <x v="17"/>
    <d v="2026-04-10T14:19:05"/>
  </r>
  <r>
    <n v="943"/>
    <s v="Brian"/>
    <s v="Doyle"/>
    <n v="40"/>
    <x v="2"/>
    <x v="0"/>
    <x v="15"/>
    <d v="2026-04-10T14:20:04"/>
  </r>
  <r>
    <n v="944"/>
    <s v="Isabella"/>
    <s v="Hart"/>
    <n v="47"/>
    <x v="2"/>
    <x v="2"/>
    <x v="5"/>
    <d v="2026-04-10T14:20:53"/>
  </r>
  <r>
    <n v="945"/>
    <s v="Richard"/>
    <s v="Adams"/>
    <n v="28"/>
    <x v="1"/>
    <x v="1"/>
    <x v="16"/>
    <d v="2026-04-10T14:21:05"/>
  </r>
  <r>
    <n v="946"/>
    <s v="Brian"/>
    <s v="Lowe"/>
    <n v="64"/>
    <x v="2"/>
    <x v="2"/>
    <x v="12"/>
    <d v="2026-04-10T14:21:54"/>
  </r>
  <r>
    <n v="947"/>
    <s v="Logan"/>
    <s v="Leonard"/>
    <n v="39"/>
    <x v="1"/>
    <x v="3"/>
    <x v="1"/>
    <d v="2026-04-10T14:22:47"/>
  </r>
  <r>
    <n v="948"/>
    <s v="Nicholas"/>
    <s v="Wilcox"/>
    <n v="36"/>
    <x v="2"/>
    <x v="6"/>
    <x v="2"/>
    <d v="2026-04-10T14:23:18"/>
  </r>
  <r>
    <n v="949"/>
    <s v="Michael"/>
    <s v="Crawford"/>
    <n v="54"/>
    <x v="1"/>
    <x v="1"/>
    <x v="2"/>
    <d v="2026-04-10T14:23:30"/>
  </r>
  <r>
    <n v="950"/>
    <s v="Sandra"/>
    <s v="Hicks"/>
    <n v="39"/>
    <x v="0"/>
    <x v="3"/>
    <x v="6"/>
    <d v="2026-04-10T14:23:40"/>
  </r>
  <r>
    <n v="951"/>
    <s v="Joshua"/>
    <s v="Garcia"/>
    <n v="19"/>
    <x v="1"/>
    <x v="0"/>
    <x v="5"/>
    <d v="2026-04-10T14:24:25"/>
  </r>
  <r>
    <n v="952"/>
    <s v="Wendy"/>
    <s v="Jordan"/>
    <n v="24"/>
    <x v="0"/>
    <x v="0"/>
    <x v="16"/>
    <d v="2026-04-10T14:24:58"/>
  </r>
  <r>
    <n v="953"/>
    <s v="James"/>
    <s v="Vega"/>
    <n v="24"/>
    <x v="0"/>
    <x v="0"/>
    <x v="16"/>
    <d v="2026-04-10T14:25:57"/>
  </r>
  <r>
    <n v="954"/>
    <s v="Dana"/>
    <s v="Ramos"/>
    <n v="39"/>
    <x v="2"/>
    <x v="5"/>
    <x v="10"/>
    <d v="2026-04-10T14:26:18"/>
  </r>
  <r>
    <n v="955"/>
    <s v="Nicholas"/>
    <s v="Goodwin"/>
    <n v="35"/>
    <x v="0"/>
    <x v="3"/>
    <x v="0"/>
    <d v="2026-04-10T14:26:37"/>
  </r>
  <r>
    <n v="956"/>
    <s v="Courtney"/>
    <s v="Horn"/>
    <n v="55"/>
    <x v="2"/>
    <x v="6"/>
    <x v="9"/>
    <d v="2026-04-10T14:27:29"/>
  </r>
  <r>
    <n v="957"/>
    <s v="Tara"/>
    <s v="Murphy"/>
    <n v="31"/>
    <x v="1"/>
    <x v="5"/>
    <x v="10"/>
    <d v="2026-04-10T14:27:52"/>
  </r>
  <r>
    <n v="958"/>
    <s v="Teresa"/>
    <s v="Carter"/>
    <n v="57"/>
    <x v="1"/>
    <x v="0"/>
    <x v="1"/>
    <d v="2026-04-10T14:28:19"/>
  </r>
  <r>
    <n v="959"/>
    <s v="Kenneth"/>
    <s v="Wright"/>
    <n v="27"/>
    <x v="0"/>
    <x v="2"/>
    <x v="8"/>
    <d v="2026-04-10T14:28:51"/>
  </r>
  <r>
    <n v="960"/>
    <s v="Gregory"/>
    <s v="Sullivan"/>
    <n v="22"/>
    <x v="1"/>
    <x v="5"/>
    <x v="17"/>
    <d v="2026-04-10T14:29:48"/>
  </r>
  <r>
    <n v="961"/>
    <s v="Michael"/>
    <s v="Watson"/>
    <n v="40"/>
    <x v="1"/>
    <x v="1"/>
    <x v="0"/>
    <d v="2026-04-10T14:30:39"/>
  </r>
  <r>
    <n v="962"/>
    <s v="Jonathan"/>
    <s v="Santos"/>
    <n v="49"/>
    <x v="2"/>
    <x v="6"/>
    <x v="16"/>
    <d v="2026-04-10T14:30:57"/>
  </r>
  <r>
    <n v="963"/>
    <s v="Nicole"/>
    <s v="Ford"/>
    <n v="61"/>
    <x v="2"/>
    <x v="1"/>
    <x v="14"/>
    <d v="2026-04-10T14:31:29"/>
  </r>
  <r>
    <n v="964"/>
    <s v="Michael"/>
    <s v="Evans"/>
    <n v="39"/>
    <x v="0"/>
    <x v="3"/>
    <x v="17"/>
    <d v="2026-04-10T14:32:21"/>
  </r>
  <r>
    <n v="965"/>
    <s v="Joseph"/>
    <s v="Gibson"/>
    <n v="31"/>
    <x v="1"/>
    <x v="2"/>
    <x v="12"/>
    <d v="2026-04-10T14:32:36"/>
  </r>
  <r>
    <n v="966"/>
    <s v="David"/>
    <s v="Wood"/>
    <n v="26"/>
    <x v="2"/>
    <x v="6"/>
    <x v="11"/>
    <d v="2026-04-10T14:33:34"/>
  </r>
  <r>
    <n v="967"/>
    <s v="Kristen"/>
    <s v="Walls"/>
    <n v="70"/>
    <x v="1"/>
    <x v="3"/>
    <x v="7"/>
    <d v="2026-04-10T14:34:24"/>
  </r>
  <r>
    <n v="968"/>
    <s v="Dennis"/>
    <s v="Juarez"/>
    <n v="48"/>
    <x v="2"/>
    <x v="5"/>
    <x v="5"/>
    <d v="2026-04-10T14:35:22"/>
  </r>
  <r>
    <n v="969"/>
    <s v="Sandra"/>
    <s v="Moore"/>
    <n v="62"/>
    <x v="1"/>
    <x v="4"/>
    <x v="4"/>
    <d v="2026-04-10T14:36:04"/>
  </r>
  <r>
    <n v="970"/>
    <s v="Joel"/>
    <s v="Garcia"/>
    <n v="24"/>
    <x v="0"/>
    <x v="2"/>
    <x v="9"/>
    <d v="2026-04-10T14:36:18"/>
  </r>
  <r>
    <n v="971"/>
    <s v="Shane"/>
    <s v="Richard"/>
    <n v="27"/>
    <x v="2"/>
    <x v="0"/>
    <x v="0"/>
    <d v="2026-04-10T14:36:40"/>
  </r>
  <r>
    <n v="972"/>
    <s v="Shane"/>
    <s v="Fuller"/>
    <n v="30"/>
    <x v="1"/>
    <x v="1"/>
    <x v="10"/>
    <d v="2026-04-10T14:37:40"/>
  </r>
  <r>
    <n v="973"/>
    <s v="Vanessa"/>
    <s v="Palmer"/>
    <n v="59"/>
    <x v="1"/>
    <x v="0"/>
    <x v="7"/>
    <d v="2026-04-10T14:38:24"/>
  </r>
  <r>
    <n v="974"/>
    <s v="Robert"/>
    <s v="Stewart"/>
    <n v="28"/>
    <x v="2"/>
    <x v="0"/>
    <x v="9"/>
    <d v="2026-04-10T14:38:58"/>
  </r>
  <r>
    <n v="975"/>
    <s v="Kathy"/>
    <s v="Stone"/>
    <n v="59"/>
    <x v="2"/>
    <x v="2"/>
    <x v="11"/>
    <d v="2026-04-10T14:39:49"/>
  </r>
  <r>
    <n v="976"/>
    <s v="Henry"/>
    <s v="Lopez"/>
    <n v="33"/>
    <x v="2"/>
    <x v="2"/>
    <x v="14"/>
    <d v="2026-04-10T14:40:40"/>
  </r>
  <r>
    <n v="977"/>
    <s v="John"/>
    <s v="Rodriguez"/>
    <n v="35"/>
    <x v="1"/>
    <x v="6"/>
    <x v="12"/>
    <d v="2026-04-10T14:41:40"/>
  </r>
  <r>
    <n v="978"/>
    <s v="Ruth"/>
    <s v="Willis"/>
    <n v="57"/>
    <x v="1"/>
    <x v="5"/>
    <x v="10"/>
    <d v="2026-04-10T14:42:30"/>
  </r>
  <r>
    <n v="979"/>
    <s v="Ruben"/>
    <s v="Willis"/>
    <n v="65"/>
    <x v="0"/>
    <x v="4"/>
    <x v="3"/>
    <d v="2026-04-10T14:43:17"/>
  </r>
  <r>
    <n v="980"/>
    <s v="Michelle"/>
    <s v="Powell"/>
    <n v="26"/>
    <x v="1"/>
    <x v="0"/>
    <x v="7"/>
    <d v="2026-04-10T14:43:53"/>
  </r>
  <r>
    <n v="981"/>
    <s v="Samantha"/>
    <s v="Burton"/>
    <n v="49"/>
    <x v="1"/>
    <x v="1"/>
    <x v="14"/>
    <d v="2026-04-10T14:44:45"/>
  </r>
  <r>
    <n v="982"/>
    <s v="Diane"/>
    <s v="Wade"/>
    <n v="36"/>
    <x v="2"/>
    <x v="5"/>
    <x v="10"/>
    <d v="2026-04-10T14:44:55"/>
  </r>
  <r>
    <n v="983"/>
    <s v="Joshua"/>
    <s v="Snyder"/>
    <n v="28"/>
    <x v="0"/>
    <x v="5"/>
    <x v="8"/>
    <d v="2026-04-10T14:45:46"/>
  </r>
  <r>
    <n v="984"/>
    <s v="Anthony"/>
    <s v="Hutchinson"/>
    <n v="55"/>
    <x v="1"/>
    <x v="6"/>
    <x v="3"/>
    <d v="2026-04-10T14:45:57"/>
  </r>
  <r>
    <n v="985"/>
    <s v="Morgan"/>
    <s v="Johnson"/>
    <n v="51"/>
    <x v="0"/>
    <x v="6"/>
    <x v="11"/>
    <d v="2026-04-10T14:46:25"/>
  </r>
  <r>
    <n v="986"/>
    <s v="Diane"/>
    <s v="Ellison"/>
    <n v="26"/>
    <x v="1"/>
    <x v="5"/>
    <x v="7"/>
    <d v="2026-04-10T14:46:36"/>
  </r>
  <r>
    <n v="987"/>
    <s v="Steven"/>
    <s v="Bass"/>
    <n v="33"/>
    <x v="1"/>
    <x v="0"/>
    <x v="12"/>
    <d v="2026-04-10T14:47:03"/>
  </r>
  <r>
    <n v="988"/>
    <s v="Katie"/>
    <s v="Lara"/>
    <n v="39"/>
    <x v="2"/>
    <x v="5"/>
    <x v="5"/>
    <d v="2026-04-10T14:47:37"/>
  </r>
  <r>
    <n v="989"/>
    <s v="Thomas"/>
    <s v="York"/>
    <n v="64"/>
    <x v="0"/>
    <x v="0"/>
    <x v="1"/>
    <d v="2026-04-10T14:48:32"/>
  </r>
  <r>
    <n v="990"/>
    <s v="Amber"/>
    <s v="Smith"/>
    <n v="51"/>
    <x v="0"/>
    <x v="0"/>
    <x v="2"/>
    <d v="2026-04-10T14:49:20"/>
  </r>
  <r>
    <n v="991"/>
    <s v="Christopher"/>
    <s v="Garcia"/>
    <n v="51"/>
    <x v="0"/>
    <x v="1"/>
    <x v="11"/>
    <d v="2026-04-10T14:49:55"/>
  </r>
  <r>
    <n v="992"/>
    <s v="Erin"/>
    <s v="Nelson"/>
    <n v="53"/>
    <x v="0"/>
    <x v="6"/>
    <x v="10"/>
    <d v="2026-04-10T14:50:49"/>
  </r>
  <r>
    <n v="993"/>
    <s v="Tina"/>
    <s v="Clark"/>
    <n v="57"/>
    <x v="0"/>
    <x v="1"/>
    <x v="5"/>
    <d v="2026-04-10T14:51:16"/>
  </r>
  <r>
    <n v="994"/>
    <s v="Michael"/>
    <s v="Brooks"/>
    <n v="27"/>
    <x v="1"/>
    <x v="2"/>
    <x v="15"/>
    <d v="2026-04-10T14:51:42"/>
  </r>
  <r>
    <n v="995"/>
    <s v="Steven"/>
    <s v="Williams"/>
    <n v="48"/>
    <x v="1"/>
    <x v="3"/>
    <x v="5"/>
    <d v="2026-04-10T14:52:05"/>
  </r>
  <r>
    <n v="996"/>
    <s v="Jamie"/>
    <s v="Gray"/>
    <n v="26"/>
    <x v="0"/>
    <x v="1"/>
    <x v="13"/>
    <d v="2026-04-10T14:52:33"/>
  </r>
  <r>
    <n v="997"/>
    <s v="Alicia"/>
    <s v="Green"/>
    <n v="18"/>
    <x v="2"/>
    <x v="2"/>
    <x v="8"/>
    <d v="2026-04-10T14:53:26"/>
  </r>
  <r>
    <n v="998"/>
    <s v="Lisa"/>
    <s v="Davis"/>
    <n v="36"/>
    <x v="1"/>
    <x v="3"/>
    <x v="1"/>
    <d v="2026-04-10T14:53:40"/>
  </r>
  <r>
    <n v="999"/>
    <s v="Christina"/>
    <s v="Davis"/>
    <n v="39"/>
    <x v="2"/>
    <x v="6"/>
    <x v="3"/>
    <d v="2026-04-10T14:54:15"/>
  </r>
  <r>
    <n v="1000"/>
    <s v="Sherry"/>
    <s v="Nguyen"/>
    <n v="21"/>
    <x v="1"/>
    <x v="0"/>
    <x v="12"/>
    <d v="2026-04-10T14:54:34"/>
  </r>
  <r>
    <n v="1001"/>
    <s v="Scott"/>
    <s v="Thomas"/>
    <n v="46"/>
    <x v="1"/>
    <x v="3"/>
    <x v="18"/>
    <d v="2026-04-10T14:55:11"/>
  </r>
  <r>
    <n v="1002"/>
    <s v="William"/>
    <s v="Castro"/>
    <n v="65"/>
    <x v="0"/>
    <x v="5"/>
    <x v="9"/>
    <d v="2026-04-10T14:56:01"/>
  </r>
  <r>
    <n v="1003"/>
    <s v="April"/>
    <s v="Cunningham"/>
    <n v="24"/>
    <x v="0"/>
    <x v="0"/>
    <x v="16"/>
    <d v="2026-04-10T14:56:24"/>
  </r>
  <r>
    <n v="1004"/>
    <s v="Michael"/>
    <s v="Davidson"/>
    <n v="56"/>
    <x v="2"/>
    <x v="6"/>
    <x v="6"/>
    <d v="2026-04-10T14:56:44"/>
  </r>
  <r>
    <n v="1005"/>
    <s v="Michael"/>
    <s v="Cummings"/>
    <n v="49"/>
    <x v="2"/>
    <x v="1"/>
    <x v="3"/>
    <d v="2026-04-10T14:57:41"/>
  </r>
  <r>
    <n v="1006"/>
    <s v="Deborah"/>
    <s v="Boone"/>
    <n v="23"/>
    <x v="2"/>
    <x v="3"/>
    <x v="2"/>
    <d v="2026-04-10T14:58:12"/>
  </r>
  <r>
    <n v="1007"/>
    <s v="Shawn"/>
    <s v="Armstrong"/>
    <n v="31"/>
    <x v="2"/>
    <x v="5"/>
    <x v="0"/>
    <d v="2026-04-10T14:59:06"/>
  </r>
  <r>
    <n v="1008"/>
    <s v="Thomas"/>
    <s v="Cooper"/>
    <n v="69"/>
    <x v="2"/>
    <x v="4"/>
    <x v="6"/>
    <d v="2026-04-12T11:48:27"/>
  </r>
  <r>
    <n v="1009"/>
    <s v="Trevor"/>
    <s v="Sanchez"/>
    <n v="47"/>
    <x v="0"/>
    <x v="2"/>
    <x v="7"/>
    <d v="2026-04-12T11:49:10"/>
  </r>
  <r>
    <n v="1010"/>
    <s v="Whitney"/>
    <s v="Dixon"/>
    <n v="18"/>
    <x v="1"/>
    <x v="5"/>
    <x v="11"/>
    <d v="2026-04-12T11:49:21"/>
  </r>
  <r>
    <n v="1011"/>
    <s v="Sherry"/>
    <s v="Morrison"/>
    <n v="67"/>
    <x v="1"/>
    <x v="0"/>
    <x v="2"/>
    <d v="2026-04-12T11:49:37"/>
  </r>
  <r>
    <n v="1012"/>
    <s v="Donna"/>
    <s v="Sloan"/>
    <n v="42"/>
    <x v="1"/>
    <x v="2"/>
    <x v="3"/>
    <d v="2026-04-12T11:50:33"/>
  </r>
  <r>
    <n v="1013"/>
    <s v="Jennifer"/>
    <s v="Lewis"/>
    <n v="54"/>
    <x v="0"/>
    <x v="0"/>
    <x v="15"/>
    <d v="2026-04-12T11:51:19"/>
  </r>
  <r>
    <n v="1014"/>
    <s v="Donna"/>
    <s v="Green"/>
    <n v="69"/>
    <x v="2"/>
    <x v="0"/>
    <x v="8"/>
    <d v="2026-04-12T11:51:49"/>
  </r>
  <r>
    <n v="1015"/>
    <s v="Matthew"/>
    <s v="Castaneda"/>
    <n v="59"/>
    <x v="0"/>
    <x v="0"/>
    <x v="7"/>
    <d v="2026-04-12T11:52:19"/>
  </r>
  <r>
    <n v="1016"/>
    <s v="Timothy"/>
    <s v="Andrews"/>
    <n v="59"/>
    <x v="1"/>
    <x v="6"/>
    <x v="16"/>
    <d v="2026-04-12T11:52:45"/>
  </r>
  <r>
    <n v="1017"/>
    <s v="Jonathan"/>
    <s v="Davies"/>
    <n v="30"/>
    <x v="0"/>
    <x v="0"/>
    <x v="2"/>
    <d v="2026-04-12T11:53:08"/>
  </r>
  <r>
    <n v="1018"/>
    <s v="Lisa"/>
    <s v="Everett"/>
    <n v="44"/>
    <x v="2"/>
    <x v="2"/>
    <x v="9"/>
    <d v="2026-04-12T11:53:46"/>
  </r>
  <r>
    <n v="1019"/>
    <s v="Kimberly"/>
    <s v="Montoya"/>
    <n v="49"/>
    <x v="1"/>
    <x v="1"/>
    <x v="8"/>
    <d v="2026-04-12T11:54:16"/>
  </r>
  <r>
    <n v="1020"/>
    <s v="Kathryn"/>
    <s v="Matthews"/>
    <n v="32"/>
    <x v="0"/>
    <x v="3"/>
    <x v="1"/>
    <d v="2026-04-12T11:54:51"/>
  </r>
  <r>
    <n v="1021"/>
    <s v="Wendy"/>
    <s v="Turner"/>
    <n v="43"/>
    <x v="1"/>
    <x v="2"/>
    <x v="17"/>
    <d v="2026-04-12T11:55:17"/>
  </r>
  <r>
    <n v="1022"/>
    <s v="Terri"/>
    <s v="Warren"/>
    <n v="39"/>
    <x v="1"/>
    <x v="0"/>
    <x v="15"/>
    <d v="2026-04-12T11:55:44"/>
  </r>
  <r>
    <n v="1023"/>
    <s v="Kevin"/>
    <s v="Baker"/>
    <n v="45"/>
    <x v="0"/>
    <x v="2"/>
    <x v="3"/>
    <d v="2026-04-12T11:56:13"/>
  </r>
  <r>
    <n v="1024"/>
    <s v="Courtney"/>
    <s v="Ruiz"/>
    <n v="56"/>
    <x v="2"/>
    <x v="6"/>
    <x v="2"/>
    <d v="2026-04-12T11:56:27"/>
  </r>
  <r>
    <n v="1025"/>
    <s v="Laura"/>
    <s v="Erickson"/>
    <n v="57"/>
    <x v="0"/>
    <x v="6"/>
    <x v="12"/>
    <d v="2026-04-12T11:57:04"/>
  </r>
  <r>
    <n v="1026"/>
    <s v="Cathy"/>
    <s v="Clark"/>
    <n v="49"/>
    <x v="2"/>
    <x v="6"/>
    <x v="11"/>
    <d v="2026-04-12T11:57:31"/>
  </r>
  <r>
    <n v="1027"/>
    <s v="Angela"/>
    <s v="Brown"/>
    <n v="31"/>
    <x v="1"/>
    <x v="3"/>
    <x v="16"/>
    <d v="2026-04-12T11:58:17"/>
  </r>
  <r>
    <n v="1028"/>
    <s v="David"/>
    <s v="Ball"/>
    <n v="46"/>
    <x v="2"/>
    <x v="2"/>
    <x v="5"/>
    <d v="2026-04-12T11:58:27"/>
  </r>
  <r>
    <n v="1029"/>
    <s v="Melanie"/>
    <s v="Larson"/>
    <n v="47"/>
    <x v="0"/>
    <x v="3"/>
    <x v="0"/>
    <d v="2026-04-12T11:58:39"/>
  </r>
  <r>
    <n v="1030"/>
    <s v="Michael"/>
    <s v="Chavez"/>
    <n v="44"/>
    <x v="1"/>
    <x v="3"/>
    <x v="15"/>
    <d v="2026-04-12T11:58:58"/>
  </r>
  <r>
    <n v="1031"/>
    <s v="William"/>
    <s v="Smith"/>
    <n v="48"/>
    <x v="2"/>
    <x v="3"/>
    <x v="7"/>
    <d v="2026-04-12T11:59:41"/>
  </r>
  <r>
    <n v="1032"/>
    <s v="Adam"/>
    <s v="Patterson"/>
    <n v="56"/>
    <x v="2"/>
    <x v="1"/>
    <x v="19"/>
    <d v="2026-04-12T11:59:53"/>
  </r>
  <r>
    <n v="1033"/>
    <s v="Michelle"/>
    <s v="Thompson"/>
    <n v="50"/>
    <x v="0"/>
    <x v="4"/>
    <x v="0"/>
    <d v="2026-04-12T12:00:37"/>
  </r>
  <r>
    <n v="1034"/>
    <s v="Jonathan"/>
    <s v="Hughes"/>
    <n v="66"/>
    <x v="0"/>
    <x v="6"/>
    <x v="6"/>
    <d v="2026-04-12T12:01:27"/>
  </r>
  <r>
    <n v="1035"/>
    <s v="Joseph"/>
    <s v="Robbins"/>
    <n v="64"/>
    <x v="2"/>
    <x v="0"/>
    <x v="15"/>
    <d v="2026-04-12T12:01:49"/>
  </r>
  <r>
    <n v="1036"/>
    <s v="Rebecca"/>
    <s v="Ramirez"/>
    <n v="41"/>
    <x v="1"/>
    <x v="3"/>
    <x v="14"/>
    <d v="2026-04-12T12:02:00"/>
  </r>
  <r>
    <n v="1037"/>
    <s v="Justin"/>
    <s v="Davis"/>
    <n v="18"/>
    <x v="1"/>
    <x v="1"/>
    <x v="14"/>
    <d v="2026-04-12T12:02:33"/>
  </r>
  <r>
    <n v="1038"/>
    <s v="Alexandria"/>
    <s v="Wright"/>
    <n v="39"/>
    <x v="1"/>
    <x v="5"/>
    <x v="6"/>
    <d v="2026-04-12T12:03:31"/>
  </r>
  <r>
    <n v="1039"/>
    <s v="Jennifer"/>
    <s v="Alvarez"/>
    <n v="49"/>
    <x v="2"/>
    <x v="3"/>
    <x v="0"/>
    <d v="2026-04-12T12:04:08"/>
  </r>
  <r>
    <n v="1040"/>
    <s v="Summer"/>
    <s v="Hernandez"/>
    <n v="67"/>
    <x v="2"/>
    <x v="6"/>
    <x v="4"/>
    <d v="2026-04-12T12:05:05"/>
  </r>
  <r>
    <n v="1041"/>
    <s v="Matthew"/>
    <s v="Ramirez"/>
    <n v="67"/>
    <x v="1"/>
    <x v="4"/>
    <x v="1"/>
    <d v="2026-04-12T12:05:52"/>
  </r>
  <r>
    <n v="1042"/>
    <s v="Tyler"/>
    <s v="Rivera"/>
    <n v="57"/>
    <x v="1"/>
    <x v="4"/>
    <x v="0"/>
    <d v="2026-04-12T12:06:28"/>
  </r>
  <r>
    <n v="1043"/>
    <s v="Christine"/>
    <s v="Olsen"/>
    <n v="70"/>
    <x v="0"/>
    <x v="1"/>
    <x v="2"/>
    <d v="2026-04-12T12:07:00"/>
  </r>
  <r>
    <n v="1044"/>
    <s v="Patricia"/>
    <s v="Roberson"/>
    <n v="20"/>
    <x v="1"/>
    <x v="3"/>
    <x v="15"/>
    <d v="2026-04-12T12:07:42"/>
  </r>
  <r>
    <n v="1045"/>
    <s v="Heather"/>
    <s v="Owens"/>
    <n v="47"/>
    <x v="0"/>
    <x v="4"/>
    <x v="16"/>
    <d v="2026-04-12T12:08:00"/>
  </r>
  <r>
    <n v="1046"/>
    <s v="Diana"/>
    <s v="Dunn"/>
    <n v="54"/>
    <x v="1"/>
    <x v="6"/>
    <x v="2"/>
    <d v="2026-04-12T12:08:44"/>
  </r>
  <r>
    <n v="1047"/>
    <s v="Katrina"/>
    <s v="Oliver"/>
    <n v="43"/>
    <x v="1"/>
    <x v="0"/>
    <x v="6"/>
    <d v="2026-04-12T12:09:13"/>
  </r>
  <r>
    <n v="1048"/>
    <s v="Ricardo"/>
    <s v="Logan"/>
    <n v="41"/>
    <x v="0"/>
    <x v="0"/>
    <x v="5"/>
    <d v="2026-04-12T12:10:10"/>
  </r>
  <r>
    <n v="1049"/>
    <s v="Wendy"/>
    <s v="Wilkins"/>
    <n v="54"/>
    <x v="2"/>
    <x v="1"/>
    <x v="15"/>
    <d v="2026-04-12T12:10:40"/>
  </r>
  <r>
    <n v="1050"/>
    <s v="Amy"/>
    <s v="Anderson"/>
    <n v="70"/>
    <x v="2"/>
    <x v="2"/>
    <x v="5"/>
    <d v="2026-04-12T12:11:11"/>
  </r>
  <r>
    <n v="1051"/>
    <s v="Jasmine"/>
    <s v="Hill"/>
    <n v="20"/>
    <x v="1"/>
    <x v="0"/>
    <x v="11"/>
    <d v="2026-04-12T12:11:44"/>
  </r>
  <r>
    <n v="1052"/>
    <s v="Pamela"/>
    <s v="Johnson"/>
    <n v="64"/>
    <x v="1"/>
    <x v="0"/>
    <x v="8"/>
    <d v="2026-04-12T12:12:12"/>
  </r>
  <r>
    <n v="1053"/>
    <s v="Jeffrey"/>
    <s v="Owens"/>
    <n v="37"/>
    <x v="0"/>
    <x v="5"/>
    <x v="9"/>
    <d v="2026-04-12T12:13:02"/>
  </r>
  <r>
    <n v="1054"/>
    <s v="Melanie"/>
    <s v="Davis"/>
    <n v="34"/>
    <x v="1"/>
    <x v="2"/>
    <x v="10"/>
    <d v="2026-04-12T12:13:56"/>
  </r>
  <r>
    <n v="1055"/>
    <s v="Samuel"/>
    <s v="Smith"/>
    <n v="22"/>
    <x v="1"/>
    <x v="5"/>
    <x v="10"/>
    <d v="2026-04-12T12:14:35"/>
  </r>
  <r>
    <n v="1056"/>
    <s v="Laura"/>
    <s v="Anderson"/>
    <n v="52"/>
    <x v="1"/>
    <x v="1"/>
    <x v="2"/>
    <d v="2026-04-12T12:15:10"/>
  </r>
  <r>
    <n v="1057"/>
    <s v="Allison"/>
    <s v="Duncan"/>
    <n v="37"/>
    <x v="1"/>
    <x v="0"/>
    <x v="15"/>
    <d v="2026-04-12T12:15:35"/>
  </r>
  <r>
    <n v="1058"/>
    <s v="Frank"/>
    <s v="Cantu"/>
    <n v="45"/>
    <x v="0"/>
    <x v="3"/>
    <x v="15"/>
    <d v="2026-04-12T12:16:23"/>
  </r>
  <r>
    <n v="1059"/>
    <s v="Monica"/>
    <s v="Ochoa"/>
    <n v="25"/>
    <x v="0"/>
    <x v="2"/>
    <x v="0"/>
    <d v="2026-04-12T12:16:55"/>
  </r>
  <r>
    <n v="1060"/>
    <s v="Elizabeth"/>
    <s v="Bennett"/>
    <n v="43"/>
    <x v="2"/>
    <x v="6"/>
    <x v="0"/>
    <d v="2026-04-12T12:17:50"/>
  </r>
  <r>
    <n v="1061"/>
    <s v="Charles"/>
    <s v="Johnson"/>
    <n v="26"/>
    <x v="2"/>
    <x v="5"/>
    <x v="2"/>
    <d v="2026-04-12T12:18:28"/>
  </r>
  <r>
    <n v="1062"/>
    <s v="Erica"/>
    <s v="Davidson"/>
    <n v="56"/>
    <x v="0"/>
    <x v="4"/>
    <x v="8"/>
    <d v="2026-04-12T12:19:06"/>
  </r>
  <r>
    <n v="1063"/>
    <s v="Paula"/>
    <s v="Cox"/>
    <n v="57"/>
    <x v="0"/>
    <x v="6"/>
    <x v="3"/>
    <d v="2026-04-12T12:19:58"/>
  </r>
  <r>
    <n v="1064"/>
    <s v="Elizabeth"/>
    <s v="Herrera"/>
    <n v="26"/>
    <x v="0"/>
    <x v="1"/>
    <x v="9"/>
    <d v="2026-04-12T12:20:09"/>
  </r>
  <r>
    <n v="1065"/>
    <s v="William"/>
    <s v="Peterson"/>
    <n v="51"/>
    <x v="2"/>
    <x v="2"/>
    <x v="14"/>
    <d v="2026-04-12T12:21:03"/>
  </r>
  <r>
    <n v="1066"/>
    <s v="Jennifer"/>
    <s v="Griffin"/>
    <n v="35"/>
    <x v="2"/>
    <x v="6"/>
    <x v="1"/>
    <d v="2026-04-12T12:21:16"/>
  </r>
  <r>
    <n v="1067"/>
    <s v="Jason"/>
    <s v="Gardner"/>
    <n v="18"/>
    <x v="2"/>
    <x v="5"/>
    <x v="4"/>
    <d v="2026-04-12T12:22:10"/>
  </r>
  <r>
    <n v="1068"/>
    <s v="Laura"/>
    <s v="Sanders"/>
    <n v="41"/>
    <x v="2"/>
    <x v="3"/>
    <x v="17"/>
    <d v="2026-04-12T12:22:48"/>
  </r>
  <r>
    <n v="1069"/>
    <s v="Adam"/>
    <s v="Anderson"/>
    <n v="35"/>
    <x v="1"/>
    <x v="2"/>
    <x v="0"/>
    <d v="2026-04-12T12:23:41"/>
  </r>
  <r>
    <n v="1070"/>
    <s v="Donald"/>
    <s v="Reese"/>
    <n v="33"/>
    <x v="0"/>
    <x v="5"/>
    <x v="6"/>
    <d v="2026-04-12T12:24:09"/>
  </r>
  <r>
    <n v="1071"/>
    <s v="Maria"/>
    <s v="Valdez"/>
    <n v="63"/>
    <x v="2"/>
    <x v="1"/>
    <x v="6"/>
    <d v="2026-04-12T12:24:50"/>
  </r>
  <r>
    <n v="1072"/>
    <s v="Jennifer"/>
    <s v="Morris"/>
    <n v="18"/>
    <x v="1"/>
    <x v="4"/>
    <x v="14"/>
    <d v="2026-04-12T12:25:47"/>
  </r>
  <r>
    <n v="1073"/>
    <s v="Daniel"/>
    <s v="Smith"/>
    <n v="32"/>
    <x v="1"/>
    <x v="5"/>
    <x v="10"/>
    <d v="2026-04-12T12:26:31"/>
  </r>
  <r>
    <n v="1074"/>
    <s v="Nancy"/>
    <s v="Murphy"/>
    <n v="34"/>
    <x v="2"/>
    <x v="4"/>
    <x v="13"/>
    <d v="2026-04-12T12:27:24"/>
  </r>
  <r>
    <n v="1075"/>
    <s v="James"/>
    <s v="Holland"/>
    <n v="23"/>
    <x v="0"/>
    <x v="0"/>
    <x v="6"/>
    <d v="2026-04-12T12:28:11"/>
  </r>
  <r>
    <n v="1076"/>
    <s v="Chloe"/>
    <s v="Gonzales"/>
    <n v="22"/>
    <x v="0"/>
    <x v="0"/>
    <x v="18"/>
    <d v="2026-04-12T12:28:23"/>
  </r>
  <r>
    <n v="1077"/>
    <s v="Katherine"/>
    <s v="Ingram"/>
    <n v="48"/>
    <x v="0"/>
    <x v="5"/>
    <x v="13"/>
    <d v="2026-04-12T12:28:53"/>
  </r>
  <r>
    <n v="1078"/>
    <s v="Morgan"/>
    <s v="Vazquez"/>
    <n v="20"/>
    <x v="0"/>
    <x v="0"/>
    <x v="2"/>
    <d v="2026-04-12T12:29:20"/>
  </r>
  <r>
    <n v="1079"/>
    <s v="Anita"/>
    <s v="Martin"/>
    <n v="28"/>
    <x v="1"/>
    <x v="5"/>
    <x v="14"/>
    <d v="2026-04-12T12:29:42"/>
  </r>
  <r>
    <n v="1080"/>
    <s v="Brenda"/>
    <s v="Mckay"/>
    <n v="32"/>
    <x v="1"/>
    <x v="0"/>
    <x v="13"/>
    <d v="2026-04-12T12:30:37"/>
  </r>
  <r>
    <n v="1081"/>
    <s v="Jennifer"/>
    <s v="Anderson"/>
    <n v="48"/>
    <x v="1"/>
    <x v="3"/>
    <x v="7"/>
    <d v="2026-04-12T12:31:29"/>
  </r>
  <r>
    <n v="1082"/>
    <s v="Kenneth"/>
    <s v="Cook"/>
    <n v="67"/>
    <x v="1"/>
    <x v="2"/>
    <x v="0"/>
    <d v="2026-04-12T12:32:08"/>
  </r>
  <r>
    <n v="1083"/>
    <s v="Jennifer"/>
    <s v="Ruiz"/>
    <n v="70"/>
    <x v="2"/>
    <x v="3"/>
    <x v="3"/>
    <d v="2026-04-12T12:32:20"/>
  </r>
  <r>
    <n v="1084"/>
    <s v="David"/>
    <s v="Lee"/>
    <n v="37"/>
    <x v="1"/>
    <x v="3"/>
    <x v="15"/>
    <d v="2026-04-12T12:33:14"/>
  </r>
  <r>
    <n v="1085"/>
    <s v="Jeremy"/>
    <s v="Boyle"/>
    <n v="50"/>
    <x v="2"/>
    <x v="5"/>
    <x v="2"/>
    <d v="2026-04-12T12:33:27"/>
  </r>
  <r>
    <n v="1086"/>
    <s v="Bradley"/>
    <s v="Garcia"/>
    <n v="32"/>
    <x v="1"/>
    <x v="6"/>
    <x v="2"/>
    <d v="2026-04-12T12:34:12"/>
  </r>
  <r>
    <n v="1087"/>
    <s v="Justin"/>
    <s v="Lambert"/>
    <n v="57"/>
    <x v="2"/>
    <x v="4"/>
    <x v="10"/>
    <d v="2026-04-12T12:35:09"/>
  </r>
  <r>
    <n v="1088"/>
    <s v="Matthew"/>
    <s v="Bennett"/>
    <n v="58"/>
    <x v="2"/>
    <x v="5"/>
    <x v="6"/>
    <d v="2026-04-12T12:35:25"/>
  </r>
  <r>
    <n v="1089"/>
    <s v="Steven"/>
    <s v="Jones"/>
    <n v="36"/>
    <x v="1"/>
    <x v="0"/>
    <x v="3"/>
    <d v="2026-04-12T12:36:19"/>
  </r>
  <r>
    <n v="1090"/>
    <s v="David"/>
    <s v="Harris"/>
    <n v="23"/>
    <x v="2"/>
    <x v="3"/>
    <x v="9"/>
    <d v="2026-04-12T12:36:59"/>
  </r>
  <r>
    <n v="1091"/>
    <s v="Brian"/>
    <s v="Jackson"/>
    <n v="60"/>
    <x v="0"/>
    <x v="3"/>
    <x v="6"/>
    <d v="2026-04-12T12:37:47"/>
  </r>
  <r>
    <n v="1092"/>
    <s v="Mark"/>
    <s v="Brown"/>
    <n v="67"/>
    <x v="0"/>
    <x v="2"/>
    <x v="0"/>
    <d v="2026-04-12T12:38:01"/>
  </r>
  <r>
    <n v="1093"/>
    <s v="Jessica"/>
    <s v="Sanchez"/>
    <n v="57"/>
    <x v="1"/>
    <x v="4"/>
    <x v="3"/>
    <d v="2026-04-12T12:38:15"/>
  </r>
  <r>
    <n v="1094"/>
    <s v="Michael"/>
    <s v="Schmidt"/>
    <n v="25"/>
    <x v="2"/>
    <x v="0"/>
    <x v="4"/>
    <d v="2026-04-12T12:38:34"/>
  </r>
  <r>
    <n v="1095"/>
    <s v="Carla"/>
    <s v="Young"/>
    <n v="23"/>
    <x v="1"/>
    <x v="2"/>
    <x v="7"/>
    <d v="2026-04-12T12:38:45"/>
  </r>
  <r>
    <n v="1096"/>
    <s v="Kelsey"/>
    <s v="Short"/>
    <n v="62"/>
    <x v="1"/>
    <x v="6"/>
    <x v="19"/>
    <d v="2026-04-12T12:38:56"/>
  </r>
  <r>
    <n v="1097"/>
    <s v="Linda"/>
    <s v="Huff"/>
    <n v="53"/>
    <x v="1"/>
    <x v="0"/>
    <x v="3"/>
    <d v="2026-04-12T12:39:12"/>
  </r>
  <r>
    <n v="1098"/>
    <s v="David"/>
    <s v="Jones"/>
    <n v="39"/>
    <x v="0"/>
    <x v="0"/>
    <x v="17"/>
    <d v="2026-04-12T12:40:06"/>
  </r>
  <r>
    <n v="1099"/>
    <s v="John"/>
    <s v="Houston"/>
    <n v="57"/>
    <x v="2"/>
    <x v="6"/>
    <x v="18"/>
    <d v="2026-04-12T12:40:32"/>
  </r>
  <r>
    <n v="1100"/>
    <s v="Christian"/>
    <s v="Bell"/>
    <n v="67"/>
    <x v="2"/>
    <x v="0"/>
    <x v="15"/>
    <d v="2026-04-12T12:41:20"/>
  </r>
  <r>
    <n v="1101"/>
    <s v="Erik"/>
    <s v="Scott"/>
    <n v="62"/>
    <x v="0"/>
    <x v="1"/>
    <x v="16"/>
    <d v="2026-04-12T12:42:12"/>
  </r>
  <r>
    <n v="1102"/>
    <s v="Cameron"/>
    <s v="Mclaughlin"/>
    <n v="63"/>
    <x v="1"/>
    <x v="0"/>
    <x v="16"/>
    <d v="2026-04-12T12:42:23"/>
  </r>
  <r>
    <n v="1103"/>
    <s v="Cindy"/>
    <s v="Garcia"/>
    <n v="69"/>
    <x v="2"/>
    <x v="2"/>
    <x v="1"/>
    <d v="2026-04-12T12:42:35"/>
  </r>
  <r>
    <n v="1104"/>
    <s v="Michael"/>
    <s v="Williams"/>
    <n v="47"/>
    <x v="1"/>
    <x v="5"/>
    <x v="7"/>
    <d v="2026-04-12T12:43:16"/>
  </r>
  <r>
    <n v="1105"/>
    <s v="Nicole"/>
    <s v="Bailey"/>
    <n v="44"/>
    <x v="1"/>
    <x v="2"/>
    <x v="10"/>
    <d v="2026-04-12T12:43:29"/>
  </r>
  <r>
    <n v="1106"/>
    <s v="Travis"/>
    <s v="Graves"/>
    <n v="55"/>
    <x v="0"/>
    <x v="4"/>
    <x v="19"/>
    <d v="2026-04-12T12:43:47"/>
  </r>
  <r>
    <n v="1107"/>
    <s v="Melissa"/>
    <s v="Mckay"/>
    <n v="35"/>
    <x v="2"/>
    <x v="1"/>
    <x v="10"/>
    <d v="2026-04-12T12:44:25"/>
  </r>
  <r>
    <n v="1108"/>
    <s v="Robert"/>
    <s v="Adams"/>
    <n v="32"/>
    <x v="2"/>
    <x v="5"/>
    <x v="11"/>
    <d v="2026-04-13T14:30:25"/>
  </r>
  <r>
    <n v="1109"/>
    <s v="Austin"/>
    <s v="Stout"/>
    <n v="69"/>
    <x v="2"/>
    <x v="3"/>
    <x v="18"/>
    <d v="2026-04-13T14:31:01"/>
  </r>
  <r>
    <n v="1110"/>
    <s v="James"/>
    <s v="Schmidt"/>
    <n v="52"/>
    <x v="2"/>
    <x v="1"/>
    <x v="3"/>
    <d v="2026-04-13T14:31:44"/>
  </r>
  <r>
    <n v="1111"/>
    <s v="Megan"/>
    <s v="Gregory"/>
    <n v="41"/>
    <x v="1"/>
    <x v="6"/>
    <x v="0"/>
    <d v="2026-04-13T14:32:34"/>
  </r>
  <r>
    <n v="1112"/>
    <s v="Brian"/>
    <s v="Garrett"/>
    <n v="54"/>
    <x v="2"/>
    <x v="0"/>
    <x v="9"/>
    <d v="2026-04-13T14:33:30"/>
  </r>
  <r>
    <n v="1113"/>
    <s v="David"/>
    <s v="Campbell"/>
    <n v="63"/>
    <x v="1"/>
    <x v="5"/>
    <x v="6"/>
    <d v="2026-04-13T14:34:10"/>
  </r>
  <r>
    <n v="1114"/>
    <s v="Susan"/>
    <s v="Hawkins"/>
    <n v="61"/>
    <x v="1"/>
    <x v="1"/>
    <x v="18"/>
    <d v="2026-04-13T14:34:30"/>
  </r>
  <r>
    <n v="1115"/>
    <s v="Fred"/>
    <s v="Washington"/>
    <n v="55"/>
    <x v="0"/>
    <x v="4"/>
    <x v="15"/>
    <d v="2026-04-13T14:34:52"/>
  </r>
  <r>
    <n v="1116"/>
    <s v="Paul"/>
    <s v="Francis"/>
    <n v="23"/>
    <x v="0"/>
    <x v="1"/>
    <x v="14"/>
    <d v="2026-04-13T14:35:48"/>
  </r>
  <r>
    <n v="1117"/>
    <s v="Joe"/>
    <s v="Burgess"/>
    <n v="59"/>
    <x v="1"/>
    <x v="1"/>
    <x v="6"/>
    <d v="2026-04-13T14:35:59"/>
  </r>
  <r>
    <n v="1118"/>
    <s v="Jason"/>
    <s v="Scott"/>
    <n v="60"/>
    <x v="1"/>
    <x v="5"/>
    <x v="6"/>
    <d v="2026-04-13T14:36:41"/>
  </r>
  <r>
    <n v="1119"/>
    <s v="Jaime"/>
    <s v="Landry"/>
    <n v="63"/>
    <x v="2"/>
    <x v="3"/>
    <x v="9"/>
    <d v="2026-04-13T14:37:15"/>
  </r>
  <r>
    <n v="1120"/>
    <s v="Evelyn"/>
    <s v="Rivera"/>
    <n v="30"/>
    <x v="2"/>
    <x v="3"/>
    <x v="6"/>
    <d v="2026-04-13T14:38:11"/>
  </r>
  <r>
    <n v="1121"/>
    <s v="Matthew"/>
    <s v="Stewart"/>
    <n v="40"/>
    <x v="2"/>
    <x v="2"/>
    <x v="5"/>
    <d v="2026-04-13T14:38:36"/>
  </r>
  <r>
    <n v="1122"/>
    <s v="Kelly"/>
    <s v="Harris"/>
    <n v="69"/>
    <x v="2"/>
    <x v="0"/>
    <x v="0"/>
    <d v="2026-04-13T14:39:13"/>
  </r>
  <r>
    <n v="1123"/>
    <s v="Melissa"/>
    <s v="Elliott"/>
    <n v="33"/>
    <x v="2"/>
    <x v="1"/>
    <x v="17"/>
    <d v="2026-04-13T14:40:11"/>
  </r>
  <r>
    <n v="1124"/>
    <s v="Hannah"/>
    <s v="Johnson"/>
    <n v="48"/>
    <x v="0"/>
    <x v="1"/>
    <x v="13"/>
    <d v="2026-04-13T14:41:04"/>
  </r>
  <r>
    <n v="1125"/>
    <s v="Kathryn"/>
    <s v="Park"/>
    <n v="18"/>
    <x v="2"/>
    <x v="1"/>
    <x v="7"/>
    <d v="2026-04-13T14:41:14"/>
  </r>
  <r>
    <n v="1126"/>
    <s v="Stephen"/>
    <s v="Reeves"/>
    <n v="59"/>
    <x v="2"/>
    <x v="6"/>
    <x v="7"/>
    <d v="2026-04-13T14:41:36"/>
  </r>
  <r>
    <n v="1127"/>
    <s v="John"/>
    <s v="Moore"/>
    <n v="37"/>
    <x v="2"/>
    <x v="1"/>
    <x v="15"/>
    <d v="2026-04-13T14:42:20"/>
  </r>
  <r>
    <n v="1128"/>
    <s v="Cynthia"/>
    <s v="Bowers"/>
    <n v="19"/>
    <x v="2"/>
    <x v="5"/>
    <x v="14"/>
    <d v="2026-04-13T14:42:38"/>
  </r>
  <r>
    <n v="1129"/>
    <s v="Bryan"/>
    <s v="Aguilar"/>
    <n v="36"/>
    <x v="0"/>
    <x v="2"/>
    <x v="9"/>
    <d v="2026-04-13T14:43:10"/>
  </r>
  <r>
    <n v="1130"/>
    <s v="Annette"/>
    <s v="Thompson"/>
    <n v="69"/>
    <x v="2"/>
    <x v="1"/>
    <x v="14"/>
    <d v="2026-04-13T14:43:20"/>
  </r>
  <r>
    <n v="1131"/>
    <s v="Jared"/>
    <s v="Hanson"/>
    <n v="51"/>
    <x v="1"/>
    <x v="0"/>
    <x v="2"/>
    <d v="2026-04-13T14:43:54"/>
  </r>
  <r>
    <n v="1132"/>
    <s v="Gregory"/>
    <s v="Norris"/>
    <n v="37"/>
    <x v="1"/>
    <x v="1"/>
    <x v="2"/>
    <d v="2026-04-13T14:44:43"/>
  </r>
  <r>
    <n v="1133"/>
    <s v="Nathan"/>
    <s v="Oliver"/>
    <n v="26"/>
    <x v="1"/>
    <x v="3"/>
    <x v="6"/>
    <d v="2026-04-13T14:45:38"/>
  </r>
  <r>
    <n v="1134"/>
    <s v="Margaret"/>
    <s v="Johnson"/>
    <n v="35"/>
    <x v="1"/>
    <x v="3"/>
    <x v="9"/>
    <d v="2026-04-13T14:46:21"/>
  </r>
  <r>
    <n v="1135"/>
    <s v="Mark"/>
    <s v="Roberts"/>
    <n v="30"/>
    <x v="1"/>
    <x v="1"/>
    <x v="4"/>
    <d v="2026-04-13T14:47:07"/>
  </r>
  <r>
    <n v="1136"/>
    <s v="Cody"/>
    <s v="Garza"/>
    <n v="51"/>
    <x v="2"/>
    <x v="5"/>
    <x v="1"/>
    <d v="2026-04-13T14:47:43"/>
  </r>
  <r>
    <n v="1137"/>
    <s v="Kimberly"/>
    <s v="Patterson"/>
    <n v="46"/>
    <x v="2"/>
    <x v="4"/>
    <x v="18"/>
    <d v="2026-04-13T14:47:55"/>
  </r>
  <r>
    <n v="1138"/>
    <s v="Billy"/>
    <s v="Martin"/>
    <n v="38"/>
    <x v="1"/>
    <x v="1"/>
    <x v="1"/>
    <d v="2026-04-13T14:48:27"/>
  </r>
  <r>
    <n v="1139"/>
    <s v="Javier"/>
    <s v="Anderson"/>
    <n v="42"/>
    <x v="0"/>
    <x v="1"/>
    <x v="15"/>
    <d v="2026-04-13T14:49:10"/>
  </r>
  <r>
    <n v="1140"/>
    <s v="Tonya"/>
    <s v="Perry"/>
    <n v="22"/>
    <x v="2"/>
    <x v="0"/>
    <x v="13"/>
    <d v="2026-04-13T14:49:57"/>
  </r>
  <r>
    <n v="1141"/>
    <s v="Hector"/>
    <s v="Torres"/>
    <n v="66"/>
    <x v="1"/>
    <x v="6"/>
    <x v="10"/>
    <d v="2026-04-13T14:50:52"/>
  </r>
  <r>
    <n v="1142"/>
    <s v="Karen"/>
    <s v="Kelly"/>
    <n v="46"/>
    <x v="1"/>
    <x v="3"/>
    <x v="17"/>
    <d v="2026-04-13T14:51:31"/>
  </r>
  <r>
    <n v="1143"/>
    <s v="Gregory"/>
    <s v="Martinez"/>
    <n v="64"/>
    <x v="2"/>
    <x v="5"/>
    <x v="15"/>
    <d v="2026-04-13T14:51:41"/>
  </r>
  <r>
    <n v="1144"/>
    <s v="Misty"/>
    <s v="Rodriguez"/>
    <n v="42"/>
    <x v="2"/>
    <x v="4"/>
    <x v="0"/>
    <d v="2026-04-13T14:52:19"/>
  </r>
  <r>
    <n v="1145"/>
    <s v="Cynthia"/>
    <s v="Lee"/>
    <n v="66"/>
    <x v="0"/>
    <x v="6"/>
    <x v="16"/>
    <d v="2026-04-13T14:52:38"/>
  </r>
  <r>
    <n v="1146"/>
    <s v="Troy"/>
    <s v="Anderson"/>
    <n v="18"/>
    <x v="0"/>
    <x v="3"/>
    <x v="8"/>
    <d v="2026-04-13T14:53:15"/>
  </r>
  <r>
    <n v="1147"/>
    <s v="Jennifer"/>
    <s v="Miller"/>
    <n v="63"/>
    <x v="0"/>
    <x v="5"/>
    <x v="18"/>
    <d v="2026-04-13T14:54:14"/>
  </r>
  <r>
    <n v="1148"/>
    <s v="Benjamin"/>
    <s v="Walker"/>
    <n v="28"/>
    <x v="1"/>
    <x v="2"/>
    <x v="13"/>
    <d v="2026-04-13T14:54:28"/>
  </r>
  <r>
    <n v="1149"/>
    <s v="Adam"/>
    <s v="Sims"/>
    <n v="62"/>
    <x v="2"/>
    <x v="1"/>
    <x v="15"/>
    <d v="2026-04-13T14:55:25"/>
  </r>
  <r>
    <n v="1150"/>
    <s v="Bruce"/>
    <s v="Ross"/>
    <n v="24"/>
    <x v="2"/>
    <x v="5"/>
    <x v="12"/>
    <d v="2026-04-13T14:55:51"/>
  </r>
  <r>
    <n v="1151"/>
    <s v="Donald"/>
    <s v="Cantrell"/>
    <n v="25"/>
    <x v="0"/>
    <x v="3"/>
    <x v="0"/>
    <d v="2026-04-13T14:56:38"/>
  </r>
  <r>
    <n v="1152"/>
    <s v="Faith"/>
    <s v="Mullen"/>
    <n v="66"/>
    <x v="2"/>
    <x v="2"/>
    <x v="6"/>
    <d v="2026-04-13T14:57:14"/>
  </r>
  <r>
    <n v="1153"/>
    <s v="Barry"/>
    <s v="Nguyen"/>
    <n v="22"/>
    <x v="2"/>
    <x v="1"/>
    <x v="17"/>
    <d v="2026-04-13T14:58:12"/>
  </r>
  <r>
    <n v="1154"/>
    <s v="Timothy"/>
    <s v="Huffman"/>
    <n v="23"/>
    <x v="1"/>
    <x v="4"/>
    <x v="3"/>
    <d v="2026-04-13T14:58:34"/>
  </r>
  <r>
    <n v="1155"/>
    <s v="Brandi"/>
    <s v="Fisher"/>
    <n v="48"/>
    <x v="1"/>
    <x v="4"/>
    <x v="19"/>
    <d v="2026-04-13T14:59:30"/>
  </r>
  <r>
    <n v="1156"/>
    <s v="Tony"/>
    <s v="Gibbs"/>
    <n v="31"/>
    <x v="2"/>
    <x v="0"/>
    <x v="1"/>
    <d v="2026-04-13T14:59:59"/>
  </r>
  <r>
    <n v="1157"/>
    <s v="Stephanie"/>
    <s v="Hughes"/>
    <n v="51"/>
    <x v="1"/>
    <x v="3"/>
    <x v="6"/>
    <d v="2026-04-13T15:00:29"/>
  </r>
  <r>
    <n v="1158"/>
    <s v="Frank"/>
    <s v="Owens"/>
    <n v="37"/>
    <x v="0"/>
    <x v="0"/>
    <x v="0"/>
    <d v="2026-04-13T15:00:39"/>
  </r>
  <r>
    <n v="1159"/>
    <s v="Trevor"/>
    <s v="Burch"/>
    <n v="45"/>
    <x v="1"/>
    <x v="5"/>
    <x v="12"/>
    <d v="2026-04-13T15:01:22"/>
  </r>
  <r>
    <n v="1160"/>
    <s v="Courtney"/>
    <s v="Bell"/>
    <n v="34"/>
    <x v="1"/>
    <x v="4"/>
    <x v="17"/>
    <d v="2026-04-13T15:02:04"/>
  </r>
  <r>
    <n v="1161"/>
    <s v="Stephanie"/>
    <s v="Serrano"/>
    <n v="46"/>
    <x v="2"/>
    <x v="1"/>
    <x v="15"/>
    <d v="2026-04-13T15:02:29"/>
  </r>
  <r>
    <n v="1162"/>
    <s v="Crystal"/>
    <s v="Wiley"/>
    <n v="67"/>
    <x v="2"/>
    <x v="0"/>
    <x v="6"/>
    <d v="2026-04-13T15:02:50"/>
  </r>
  <r>
    <n v="1163"/>
    <s v="Michele"/>
    <s v="Donaldson"/>
    <n v="35"/>
    <x v="1"/>
    <x v="5"/>
    <x v="16"/>
    <d v="2026-04-13T15:03:11"/>
  </r>
  <r>
    <n v="1164"/>
    <s v="Yolanda"/>
    <s v="Vargas"/>
    <n v="28"/>
    <x v="2"/>
    <x v="0"/>
    <x v="1"/>
    <d v="2026-04-13T15:04:03"/>
  </r>
  <r>
    <n v="1165"/>
    <s v="Sandra"/>
    <s v="Sherman"/>
    <n v="41"/>
    <x v="2"/>
    <x v="3"/>
    <x v="0"/>
    <d v="2026-04-13T15:05:03"/>
  </r>
  <r>
    <n v="1166"/>
    <s v="Kelly"/>
    <s v="Campbell"/>
    <n v="32"/>
    <x v="0"/>
    <x v="2"/>
    <x v="3"/>
    <d v="2026-04-13T15:05:45"/>
  </r>
  <r>
    <n v="1167"/>
    <s v="Harry"/>
    <s v="Lin"/>
    <n v="68"/>
    <x v="0"/>
    <x v="6"/>
    <x v="11"/>
    <d v="2026-04-13T15:06:14"/>
  </r>
  <r>
    <n v="1168"/>
    <s v="Mary"/>
    <s v="Johnson"/>
    <n v="66"/>
    <x v="0"/>
    <x v="4"/>
    <x v="3"/>
    <d v="2026-04-13T15:06:38"/>
  </r>
  <r>
    <n v="1169"/>
    <s v="Amanda"/>
    <s v="Gibbs"/>
    <n v="68"/>
    <x v="1"/>
    <x v="6"/>
    <x v="9"/>
    <d v="2026-04-13T15:06:48"/>
  </r>
  <r>
    <n v="1170"/>
    <s v="Michael"/>
    <s v="Leach"/>
    <n v="20"/>
    <x v="2"/>
    <x v="4"/>
    <x v="3"/>
    <d v="2026-04-13T15:07:12"/>
  </r>
  <r>
    <n v="1171"/>
    <s v="Gerald"/>
    <s v="Anderson"/>
    <n v="54"/>
    <x v="1"/>
    <x v="3"/>
    <x v="1"/>
    <d v="2026-04-13T15:07:51"/>
  </r>
  <r>
    <n v="1172"/>
    <s v="Holly"/>
    <s v="Clark"/>
    <n v="38"/>
    <x v="0"/>
    <x v="0"/>
    <x v="0"/>
    <d v="2026-04-13T15:08:35"/>
  </r>
  <r>
    <n v="1173"/>
    <s v="Natalie"/>
    <s v="Hall"/>
    <n v="22"/>
    <x v="2"/>
    <x v="1"/>
    <x v="19"/>
    <d v="2026-04-13T15:09:10"/>
  </r>
  <r>
    <n v="1174"/>
    <s v="Jennifer"/>
    <s v="Pratt"/>
    <n v="34"/>
    <x v="2"/>
    <x v="2"/>
    <x v="3"/>
    <d v="2026-04-13T15:09:22"/>
  </r>
  <r>
    <n v="1175"/>
    <s v="Chelsea"/>
    <s v="Carlson"/>
    <n v="66"/>
    <x v="1"/>
    <x v="6"/>
    <x v="1"/>
    <d v="2026-04-13T15:09:38"/>
  </r>
  <r>
    <n v="1176"/>
    <s v="Diana"/>
    <s v="Howard"/>
    <n v="37"/>
    <x v="0"/>
    <x v="2"/>
    <x v="0"/>
    <d v="2026-04-13T15:09:54"/>
  </r>
  <r>
    <n v="1177"/>
    <s v="Alan"/>
    <s v="Haley"/>
    <n v="59"/>
    <x v="2"/>
    <x v="0"/>
    <x v="0"/>
    <d v="2026-04-13T15:10:22"/>
  </r>
  <r>
    <n v="1178"/>
    <s v="Shawn"/>
    <s v="Peterson"/>
    <n v="68"/>
    <x v="0"/>
    <x v="5"/>
    <x v="19"/>
    <d v="2026-04-13T15:10:41"/>
  </r>
  <r>
    <n v="1179"/>
    <s v="Michelle"/>
    <s v="Ramos"/>
    <n v="35"/>
    <x v="2"/>
    <x v="2"/>
    <x v="2"/>
    <d v="2026-04-13T15:11:30"/>
  </r>
  <r>
    <n v="1180"/>
    <s v="Kevin"/>
    <s v="Smith"/>
    <n v="30"/>
    <x v="0"/>
    <x v="1"/>
    <x v="6"/>
    <d v="2026-04-13T15:12:25"/>
  </r>
  <r>
    <n v="1181"/>
    <s v="Sara"/>
    <s v="Cannon"/>
    <n v="19"/>
    <x v="0"/>
    <x v="2"/>
    <x v="3"/>
    <d v="2026-04-13T15:12:51"/>
  </r>
  <r>
    <n v="1182"/>
    <s v="Felicia"/>
    <s v="Washington"/>
    <n v="57"/>
    <x v="1"/>
    <x v="4"/>
    <x v="5"/>
    <d v="2026-04-13T15:13:35"/>
  </r>
  <r>
    <n v="1183"/>
    <s v="Patricia"/>
    <s v="Thornton"/>
    <n v="55"/>
    <x v="1"/>
    <x v="6"/>
    <x v="11"/>
    <d v="2026-04-13T15:14:33"/>
  </r>
  <r>
    <n v="1184"/>
    <s v="Daniel"/>
    <s v="Fox"/>
    <n v="19"/>
    <x v="2"/>
    <x v="5"/>
    <x v="2"/>
    <d v="2026-04-13T15:15:03"/>
  </r>
  <r>
    <n v="1185"/>
    <s v="Eric"/>
    <s v="Villanueva"/>
    <n v="30"/>
    <x v="2"/>
    <x v="5"/>
    <x v="14"/>
    <d v="2026-04-13T15:15:25"/>
  </r>
  <r>
    <n v="1186"/>
    <s v="William"/>
    <s v="Andrade"/>
    <n v="65"/>
    <x v="1"/>
    <x v="5"/>
    <x v="6"/>
    <d v="2026-04-13T15:16:07"/>
  </r>
  <r>
    <n v="1187"/>
    <s v="Robert"/>
    <s v="Kelley"/>
    <n v="63"/>
    <x v="1"/>
    <x v="6"/>
    <x v="12"/>
    <d v="2026-04-13T15:17:00"/>
  </r>
  <r>
    <n v="1188"/>
    <s v="Paul"/>
    <s v="Mason"/>
    <n v="64"/>
    <x v="0"/>
    <x v="4"/>
    <x v="18"/>
    <d v="2026-04-13T15:17:35"/>
  </r>
  <r>
    <n v="1189"/>
    <s v="Mike"/>
    <s v="Hill"/>
    <n v="66"/>
    <x v="0"/>
    <x v="5"/>
    <x v="6"/>
    <d v="2026-04-13T15:18:08"/>
  </r>
  <r>
    <n v="1190"/>
    <s v="Timothy"/>
    <s v="Curtis"/>
    <n v="42"/>
    <x v="2"/>
    <x v="1"/>
    <x v="4"/>
    <d v="2026-04-13T15:19:01"/>
  </r>
  <r>
    <n v="1191"/>
    <s v="Paul"/>
    <s v="Horn"/>
    <n v="58"/>
    <x v="1"/>
    <x v="0"/>
    <x v="9"/>
    <d v="2026-04-13T15:19:21"/>
  </r>
  <r>
    <n v="1192"/>
    <s v="Jose"/>
    <s v="Diaz"/>
    <n v="18"/>
    <x v="0"/>
    <x v="0"/>
    <x v="5"/>
    <d v="2026-04-13T15:20:10"/>
  </r>
  <r>
    <n v="1193"/>
    <s v="Michael"/>
    <s v="Chan"/>
    <n v="32"/>
    <x v="1"/>
    <x v="6"/>
    <x v="14"/>
    <d v="2026-04-13T15:20:52"/>
  </r>
  <r>
    <n v="1194"/>
    <s v="Amanda"/>
    <s v="Garcia"/>
    <n v="54"/>
    <x v="0"/>
    <x v="0"/>
    <x v="0"/>
    <d v="2026-04-13T15:21:09"/>
  </r>
  <r>
    <n v="1195"/>
    <s v="Aaron"/>
    <s v="Taylor"/>
    <n v="46"/>
    <x v="2"/>
    <x v="4"/>
    <x v="19"/>
    <d v="2026-04-13T15:21:22"/>
  </r>
  <r>
    <n v="1196"/>
    <s v="Diane"/>
    <s v="Santos"/>
    <n v="35"/>
    <x v="0"/>
    <x v="3"/>
    <x v="11"/>
    <d v="2026-04-13T15:22:18"/>
  </r>
  <r>
    <n v="1197"/>
    <s v="Scott"/>
    <s v="Ray"/>
    <n v="56"/>
    <x v="1"/>
    <x v="3"/>
    <x v="12"/>
    <d v="2026-04-13T15:22:50"/>
  </r>
  <r>
    <n v="1198"/>
    <s v="Lisa"/>
    <s v="Sanders"/>
    <n v="45"/>
    <x v="1"/>
    <x v="2"/>
    <x v="15"/>
    <d v="2026-04-13T15:23:34"/>
  </r>
  <r>
    <n v="1199"/>
    <s v="Jennifer"/>
    <s v="Lucas"/>
    <n v="50"/>
    <x v="1"/>
    <x v="5"/>
    <x v="18"/>
    <d v="2026-04-13T15:24:15"/>
  </r>
  <r>
    <n v="1200"/>
    <s v="David"/>
    <s v="Turner"/>
    <n v="24"/>
    <x v="0"/>
    <x v="5"/>
    <x v="8"/>
    <d v="2026-04-13T15:25:09"/>
  </r>
  <r>
    <n v="1201"/>
    <s v="Joseph"/>
    <s v="Hartman"/>
    <n v="66"/>
    <x v="1"/>
    <x v="6"/>
    <x v="5"/>
    <d v="2026-04-13T15:25:55"/>
  </r>
  <r>
    <n v="1202"/>
    <s v="Carl"/>
    <s v="Mckay"/>
    <n v="57"/>
    <x v="1"/>
    <x v="4"/>
    <x v="6"/>
    <d v="2026-04-13T15:26:25"/>
  </r>
  <r>
    <n v="1203"/>
    <s v="Kelly"/>
    <s v="Nelson"/>
    <n v="38"/>
    <x v="0"/>
    <x v="3"/>
    <x v="15"/>
    <d v="2026-04-13T15:26:44"/>
  </r>
  <r>
    <n v="1204"/>
    <s v="Christina"/>
    <s v="Lopez"/>
    <n v="38"/>
    <x v="2"/>
    <x v="4"/>
    <x v="7"/>
    <d v="2026-04-13T15:27:00"/>
  </r>
  <r>
    <n v="1205"/>
    <s v="Eileen"/>
    <s v="Lynch"/>
    <n v="40"/>
    <x v="0"/>
    <x v="0"/>
    <x v="5"/>
    <d v="2026-04-13T15:27:54"/>
  </r>
  <r>
    <n v="1206"/>
    <s v="Tony"/>
    <s v="Love"/>
    <n v="27"/>
    <x v="2"/>
    <x v="2"/>
    <x v="1"/>
    <d v="2026-04-13T15:28:17"/>
  </r>
  <r>
    <n v="1207"/>
    <s v="Leslie"/>
    <s v="Wang"/>
    <n v="23"/>
    <x v="1"/>
    <x v="5"/>
    <x v="10"/>
    <d v="2026-04-13T15:28:49"/>
  </r>
  <r>
    <n v="1208"/>
    <s v="Zachary"/>
    <s v="Williams"/>
    <n v="69"/>
    <x v="2"/>
    <x v="6"/>
    <x v="19"/>
    <d v="2026-04-16T16:34:49"/>
  </r>
  <r>
    <n v="1209"/>
    <s v="Felicia"/>
    <s v="Stevens"/>
    <n v="49"/>
    <x v="1"/>
    <x v="3"/>
    <x v="10"/>
    <d v="2026-04-16T16:35:16"/>
  </r>
  <r>
    <n v="1210"/>
    <s v="Jessica"/>
    <s v="Casey"/>
    <n v="40"/>
    <x v="2"/>
    <x v="2"/>
    <x v="3"/>
    <d v="2026-04-16T16:35:30"/>
  </r>
  <r>
    <n v="1211"/>
    <s v="James"/>
    <s v="Johnston"/>
    <n v="50"/>
    <x v="1"/>
    <x v="1"/>
    <x v="19"/>
    <d v="2026-04-16T16:35:43"/>
  </r>
  <r>
    <n v="1212"/>
    <s v="David"/>
    <s v="Becker"/>
    <n v="42"/>
    <x v="0"/>
    <x v="3"/>
    <x v="0"/>
    <d v="2026-04-16T16:36:02"/>
  </r>
  <r>
    <n v="1213"/>
    <s v="Karen"/>
    <s v="Hunt"/>
    <n v="61"/>
    <x v="2"/>
    <x v="0"/>
    <x v="4"/>
    <d v="2026-04-16T16:36:17"/>
  </r>
  <r>
    <n v="1214"/>
    <s v="Crystal"/>
    <s v="Hunter"/>
    <n v="59"/>
    <x v="2"/>
    <x v="0"/>
    <x v="13"/>
    <d v="2026-04-16T16:36:35"/>
  </r>
  <r>
    <n v="1215"/>
    <s v="Misty"/>
    <s v="Rodriguez"/>
    <n v="55"/>
    <x v="1"/>
    <x v="6"/>
    <x v="1"/>
    <d v="2026-04-16T16:36:59"/>
  </r>
  <r>
    <n v="1216"/>
    <s v="Tina"/>
    <s v="Wong"/>
    <n v="67"/>
    <x v="1"/>
    <x v="3"/>
    <x v="17"/>
    <d v="2026-04-16T16:37:22"/>
  </r>
  <r>
    <n v="1217"/>
    <s v="David"/>
    <s v="Dorsey"/>
    <n v="67"/>
    <x v="2"/>
    <x v="6"/>
    <x v="17"/>
    <d v="2026-04-16T16:37:46"/>
  </r>
  <r>
    <n v="1218"/>
    <s v="Ronald"/>
    <s v="Munoz"/>
    <n v="46"/>
    <x v="0"/>
    <x v="1"/>
    <x v="13"/>
    <d v="2026-04-16T16:37:59"/>
  </r>
  <r>
    <n v="1219"/>
    <s v="Crystal"/>
    <s v="Tucker"/>
    <n v="39"/>
    <x v="2"/>
    <x v="0"/>
    <x v="17"/>
    <d v="2026-04-16T16:38:14"/>
  </r>
  <r>
    <n v="1220"/>
    <s v="Michael"/>
    <s v="Todd"/>
    <n v="66"/>
    <x v="2"/>
    <x v="2"/>
    <x v="4"/>
    <d v="2026-04-16T16:38:38"/>
  </r>
  <r>
    <n v="1221"/>
    <s v="Mark"/>
    <s v="Hill"/>
    <n v="37"/>
    <x v="1"/>
    <x v="2"/>
    <x v="2"/>
    <d v="2026-04-16T16:38:51"/>
  </r>
  <r>
    <n v="1222"/>
    <s v="Marisa"/>
    <s v="Griffin"/>
    <n v="49"/>
    <x v="2"/>
    <x v="6"/>
    <x v="5"/>
    <d v="2026-04-16T16:39:10"/>
  </r>
  <r>
    <n v="1223"/>
    <s v="Holly"/>
    <s v="Jackson"/>
    <n v="23"/>
    <x v="0"/>
    <x v="3"/>
    <x v="3"/>
    <d v="2026-04-16T16:39:27"/>
  </r>
  <r>
    <n v="1224"/>
    <s v="Misty"/>
    <s v="Lyons"/>
    <n v="44"/>
    <x v="1"/>
    <x v="1"/>
    <x v="2"/>
    <d v="2026-04-16T16:39:56"/>
  </r>
  <r>
    <n v="1225"/>
    <s v="Eugene"/>
    <s v="Vincent"/>
    <n v="23"/>
    <x v="2"/>
    <x v="5"/>
    <x v="12"/>
    <d v="2026-04-16T16:40:22"/>
  </r>
  <r>
    <n v="1226"/>
    <s v="Nicholas"/>
    <s v="Brown"/>
    <n v="54"/>
    <x v="1"/>
    <x v="1"/>
    <x v="16"/>
    <d v="2026-04-16T16:40:33"/>
  </r>
  <r>
    <n v="1227"/>
    <s v="Gloria"/>
    <s v="Warren"/>
    <n v="18"/>
    <x v="0"/>
    <x v="4"/>
    <x v="1"/>
    <d v="2026-04-16T16:40:57"/>
  </r>
  <r>
    <n v="1228"/>
    <s v="Lindsay"/>
    <s v="Sullivan"/>
    <n v="57"/>
    <x v="2"/>
    <x v="1"/>
    <x v="6"/>
    <d v="2026-04-16T16:41:19"/>
  </r>
  <r>
    <n v="1229"/>
    <s v="Kim"/>
    <s v="Bradley"/>
    <n v="70"/>
    <x v="2"/>
    <x v="1"/>
    <x v="2"/>
    <d v="2026-04-16T16:41:48"/>
  </r>
  <r>
    <n v="1230"/>
    <s v="Christina"/>
    <s v="Garcia"/>
    <n v="42"/>
    <x v="2"/>
    <x v="3"/>
    <x v="3"/>
    <d v="2026-04-16T16:42:05"/>
  </r>
  <r>
    <n v="1231"/>
    <s v="Sandy"/>
    <s v="Powell"/>
    <n v="66"/>
    <x v="2"/>
    <x v="1"/>
    <x v="1"/>
    <d v="2026-04-16T16:42:17"/>
  </r>
  <r>
    <n v="1232"/>
    <s v="Bryan"/>
    <s v="Rose"/>
    <n v="49"/>
    <x v="0"/>
    <x v="4"/>
    <x v="5"/>
    <d v="2026-04-16T16:42:31"/>
  </r>
  <r>
    <n v="1233"/>
    <s v="Luke"/>
    <s v="Gardner"/>
    <n v="60"/>
    <x v="1"/>
    <x v="2"/>
    <x v="14"/>
    <d v="2026-04-16T16:42:48"/>
  </r>
  <r>
    <n v="1234"/>
    <s v="Mathew"/>
    <s v="Ross"/>
    <n v="37"/>
    <x v="0"/>
    <x v="0"/>
    <x v="19"/>
    <d v="2026-04-16T16:43:15"/>
  </r>
  <r>
    <n v="1235"/>
    <s v="Jessica"/>
    <s v="Allen"/>
    <n v="65"/>
    <x v="2"/>
    <x v="4"/>
    <x v="15"/>
    <d v="2026-04-16T16:43:35"/>
  </r>
  <r>
    <n v="1236"/>
    <s v="Phillip"/>
    <s v="Frye"/>
    <n v="55"/>
    <x v="0"/>
    <x v="3"/>
    <x v="12"/>
    <d v="2026-04-16T16:43:58"/>
  </r>
  <r>
    <n v="1237"/>
    <s v="Kevin"/>
    <s v="Wood"/>
    <n v="68"/>
    <x v="2"/>
    <x v="5"/>
    <x v="0"/>
    <d v="2026-04-16T16:44:12"/>
  </r>
  <r>
    <n v="1238"/>
    <s v="Alexander"/>
    <s v="Clark"/>
    <n v="40"/>
    <x v="2"/>
    <x v="6"/>
    <x v="10"/>
    <d v="2026-04-16T16:44:27"/>
  </r>
  <r>
    <n v="1239"/>
    <s v="Wendy"/>
    <s v="Cox"/>
    <n v="33"/>
    <x v="2"/>
    <x v="5"/>
    <x v="0"/>
    <d v="2026-04-16T16:44:38"/>
  </r>
  <r>
    <n v="1240"/>
    <s v="David"/>
    <s v="Foster"/>
    <n v="30"/>
    <x v="2"/>
    <x v="5"/>
    <x v="12"/>
    <d v="2026-04-16T16:45:01"/>
  </r>
  <r>
    <n v="1241"/>
    <s v="Vanessa"/>
    <s v="Anderson"/>
    <n v="23"/>
    <x v="1"/>
    <x v="3"/>
    <x v="4"/>
    <d v="2026-04-16T16:45:12"/>
  </r>
  <r>
    <n v="1242"/>
    <s v="Timothy"/>
    <s v="Chavez"/>
    <n v="24"/>
    <x v="1"/>
    <x v="3"/>
    <x v="18"/>
    <d v="2026-04-16T16:45:39"/>
  </r>
  <r>
    <n v="1243"/>
    <s v="Sandra"/>
    <s v="Harmon"/>
    <n v="35"/>
    <x v="1"/>
    <x v="4"/>
    <x v="3"/>
    <d v="2026-04-16T16:46:08"/>
  </r>
  <r>
    <n v="1244"/>
    <s v="Marcia"/>
    <s v="Simpson"/>
    <n v="51"/>
    <x v="2"/>
    <x v="4"/>
    <x v="12"/>
    <d v="2026-04-16T16:46:30"/>
  </r>
  <r>
    <n v="1245"/>
    <s v="Blake"/>
    <s v="Rodriguez"/>
    <n v="57"/>
    <x v="2"/>
    <x v="6"/>
    <x v="15"/>
    <d v="2026-04-16T16:46:59"/>
  </r>
  <r>
    <n v="1246"/>
    <s v="Allison"/>
    <s v="Howard"/>
    <n v="57"/>
    <x v="0"/>
    <x v="0"/>
    <x v="19"/>
    <d v="2026-04-16T16:47:21"/>
  </r>
  <r>
    <n v="1247"/>
    <s v="Thomas"/>
    <s v="Guzman"/>
    <n v="18"/>
    <x v="1"/>
    <x v="3"/>
    <x v="11"/>
    <d v="2026-04-16T16:47:42"/>
  </r>
  <r>
    <n v="1248"/>
    <s v="Heather"/>
    <s v="Gonzales"/>
    <n v="55"/>
    <x v="1"/>
    <x v="4"/>
    <x v="13"/>
    <d v="2026-04-16T16:48:07"/>
  </r>
  <r>
    <n v="1249"/>
    <s v="Thomas"/>
    <s v="Sanchez"/>
    <n v="64"/>
    <x v="0"/>
    <x v="3"/>
    <x v="13"/>
    <d v="2026-04-16T16:48:35"/>
  </r>
  <r>
    <n v="1250"/>
    <s v="Kyle"/>
    <s v="Stanley"/>
    <n v="38"/>
    <x v="1"/>
    <x v="6"/>
    <x v="9"/>
    <d v="2026-04-16T16:49:00"/>
  </r>
  <r>
    <n v="1251"/>
    <s v="Elizabeth"/>
    <s v="Warner"/>
    <n v="26"/>
    <x v="2"/>
    <x v="3"/>
    <x v="10"/>
    <d v="2026-04-16T16:49:12"/>
  </r>
  <r>
    <n v="1252"/>
    <s v="Renee"/>
    <s v="King"/>
    <n v="24"/>
    <x v="2"/>
    <x v="1"/>
    <x v="11"/>
    <d v="2026-04-16T16:49:37"/>
  </r>
  <r>
    <n v="1253"/>
    <s v="Andrew"/>
    <s v="Williams"/>
    <n v="58"/>
    <x v="0"/>
    <x v="6"/>
    <x v="13"/>
    <d v="2026-04-16T16:49:57"/>
  </r>
  <r>
    <n v="1254"/>
    <s v="Jennifer"/>
    <s v="Cook"/>
    <n v="43"/>
    <x v="1"/>
    <x v="4"/>
    <x v="19"/>
    <d v="2026-04-16T16:50:21"/>
  </r>
  <r>
    <n v="1255"/>
    <s v="Benjamin"/>
    <s v="Massey"/>
    <n v="36"/>
    <x v="2"/>
    <x v="2"/>
    <x v="19"/>
    <d v="2026-04-16T16:50:40"/>
  </r>
  <r>
    <n v="1256"/>
    <s v="Juan"/>
    <s v="Ross"/>
    <n v="50"/>
    <x v="2"/>
    <x v="5"/>
    <x v="14"/>
    <d v="2026-04-16T16:51:06"/>
  </r>
  <r>
    <n v="1257"/>
    <s v="Michael"/>
    <s v="Patrick"/>
    <n v="32"/>
    <x v="1"/>
    <x v="4"/>
    <x v="4"/>
    <d v="2026-04-16T16:51:33"/>
  </r>
  <r>
    <n v="1258"/>
    <s v="David"/>
    <s v="Conner"/>
    <n v="62"/>
    <x v="1"/>
    <x v="5"/>
    <x v="5"/>
    <d v="2026-04-16T16:51:53"/>
  </r>
  <r>
    <n v="1259"/>
    <s v="Mark"/>
    <s v="Gardner"/>
    <n v="28"/>
    <x v="0"/>
    <x v="3"/>
    <x v="17"/>
    <d v="2026-04-16T16:52:21"/>
  </r>
  <r>
    <n v="1260"/>
    <s v="Robert"/>
    <s v="Livingston"/>
    <n v="38"/>
    <x v="1"/>
    <x v="3"/>
    <x v="1"/>
    <d v="2026-04-16T16:52:37"/>
  </r>
  <r>
    <n v="1261"/>
    <s v="Jesse"/>
    <s v="Spencer"/>
    <n v="54"/>
    <x v="0"/>
    <x v="0"/>
    <x v="12"/>
    <d v="2026-04-16T16:53:05"/>
  </r>
  <r>
    <n v="1262"/>
    <s v="Rachel"/>
    <s v="Rollins"/>
    <n v="26"/>
    <x v="0"/>
    <x v="5"/>
    <x v="12"/>
    <d v="2026-04-16T16:53:24"/>
  </r>
  <r>
    <n v="1263"/>
    <s v="Mark"/>
    <s v="Blackwell"/>
    <n v="26"/>
    <x v="1"/>
    <x v="5"/>
    <x v="1"/>
    <d v="2026-04-16T16:53:43"/>
  </r>
  <r>
    <n v="1264"/>
    <s v="Ruben"/>
    <s v="Johnson"/>
    <n v="21"/>
    <x v="2"/>
    <x v="5"/>
    <x v="11"/>
    <d v="2026-04-16T16:53:55"/>
  </r>
  <r>
    <n v="1265"/>
    <s v="Timothy"/>
    <s v="Chung"/>
    <n v="31"/>
    <x v="2"/>
    <x v="6"/>
    <x v="14"/>
    <d v="2026-04-16T16:54:07"/>
  </r>
  <r>
    <n v="1266"/>
    <s v="Brian"/>
    <s v="Lambert"/>
    <n v="32"/>
    <x v="2"/>
    <x v="4"/>
    <x v="14"/>
    <d v="2026-04-16T16:54:32"/>
  </r>
  <r>
    <n v="1267"/>
    <s v="Wendy"/>
    <s v="Sullivan"/>
    <n v="50"/>
    <x v="1"/>
    <x v="6"/>
    <x v="17"/>
    <d v="2026-04-16T16:54:54"/>
  </r>
  <r>
    <n v="1268"/>
    <s v="Linda"/>
    <s v="Lopez"/>
    <n v="53"/>
    <x v="0"/>
    <x v="6"/>
    <x v="18"/>
    <d v="2026-04-16T16:55:04"/>
  </r>
  <r>
    <n v="1269"/>
    <s v="Donald"/>
    <s v="Price"/>
    <n v="19"/>
    <x v="0"/>
    <x v="0"/>
    <x v="0"/>
    <d v="2026-04-16T16:55:20"/>
  </r>
  <r>
    <n v="1270"/>
    <s v="Norma"/>
    <s v="Brown"/>
    <n v="43"/>
    <x v="2"/>
    <x v="2"/>
    <x v="1"/>
    <d v="2026-04-16T16:55:35"/>
  </r>
  <r>
    <n v="1271"/>
    <s v="Linda"/>
    <s v="Smith"/>
    <n v="65"/>
    <x v="1"/>
    <x v="2"/>
    <x v="5"/>
    <d v="2026-04-16T16:55:49"/>
  </r>
  <r>
    <n v="1272"/>
    <s v="Daniel"/>
    <s v="Rodriguez"/>
    <n v="25"/>
    <x v="0"/>
    <x v="1"/>
    <x v="5"/>
    <d v="2026-04-16T16:56:17"/>
  </r>
  <r>
    <n v="1273"/>
    <s v="Kevin"/>
    <s v="Soto"/>
    <n v="69"/>
    <x v="2"/>
    <x v="1"/>
    <x v="17"/>
    <d v="2026-04-16T16:56:43"/>
  </r>
  <r>
    <n v="1274"/>
    <s v="Monica"/>
    <s v="Holmes"/>
    <n v="39"/>
    <x v="2"/>
    <x v="3"/>
    <x v="13"/>
    <d v="2026-04-16T16:56:58"/>
  </r>
  <r>
    <n v="1275"/>
    <s v="Jesse"/>
    <s v="Booker"/>
    <n v="69"/>
    <x v="0"/>
    <x v="5"/>
    <x v="15"/>
    <d v="2026-04-16T16:57:09"/>
  </r>
  <r>
    <n v="1276"/>
    <s v="Alicia"/>
    <s v="Pope"/>
    <n v="48"/>
    <x v="1"/>
    <x v="4"/>
    <x v="0"/>
    <d v="2026-04-16T16:57:21"/>
  </r>
  <r>
    <n v="1277"/>
    <s v="Daniel"/>
    <s v="White"/>
    <n v="28"/>
    <x v="0"/>
    <x v="4"/>
    <x v="19"/>
    <d v="2026-04-16T16:57:31"/>
  </r>
  <r>
    <n v="1278"/>
    <s v="Michelle"/>
    <s v="Jackson"/>
    <n v="22"/>
    <x v="2"/>
    <x v="1"/>
    <x v="11"/>
    <d v="2026-04-16T16:57:46"/>
  </r>
  <r>
    <n v="1279"/>
    <s v="Candace"/>
    <s v="Murphy"/>
    <n v="18"/>
    <x v="0"/>
    <x v="5"/>
    <x v="3"/>
    <d v="2026-04-16T16:58:05"/>
  </r>
  <r>
    <n v="1280"/>
    <s v="Brittany"/>
    <s v="Garza"/>
    <n v="48"/>
    <x v="2"/>
    <x v="3"/>
    <x v="11"/>
    <d v="2026-04-16T16:58:16"/>
  </r>
  <r>
    <n v="1281"/>
    <s v="Wendy"/>
    <s v="Carey"/>
    <n v="52"/>
    <x v="2"/>
    <x v="4"/>
    <x v="6"/>
    <d v="2026-04-16T16:58:27"/>
  </r>
  <r>
    <n v="1282"/>
    <s v="Samantha"/>
    <s v="Short"/>
    <n v="20"/>
    <x v="1"/>
    <x v="1"/>
    <x v="19"/>
    <d v="2026-04-16T16:58:56"/>
  </r>
  <r>
    <n v="1283"/>
    <s v="Mandy"/>
    <s v="Rollins"/>
    <n v="31"/>
    <x v="1"/>
    <x v="4"/>
    <x v="7"/>
    <d v="2026-04-16T16:59:25"/>
  </r>
  <r>
    <n v="1284"/>
    <s v="Rebecca"/>
    <s v="Palmer"/>
    <n v="18"/>
    <x v="0"/>
    <x v="0"/>
    <x v="3"/>
    <d v="2026-04-16T16:59:52"/>
  </r>
  <r>
    <n v="1285"/>
    <s v="Jo"/>
    <s v="Watson"/>
    <n v="50"/>
    <x v="0"/>
    <x v="1"/>
    <x v="16"/>
    <d v="2026-04-16T17:00:10"/>
  </r>
  <r>
    <n v="1286"/>
    <s v="Noah"/>
    <s v="Sanchez"/>
    <n v="44"/>
    <x v="2"/>
    <x v="5"/>
    <x v="4"/>
    <d v="2026-04-16T17:00:33"/>
  </r>
  <r>
    <n v="1287"/>
    <s v="Tanner"/>
    <s v="Riley"/>
    <n v="34"/>
    <x v="2"/>
    <x v="5"/>
    <x v="9"/>
    <d v="2026-04-16T17:00:48"/>
  </r>
  <r>
    <n v="1288"/>
    <s v="Guy"/>
    <s v="Houston"/>
    <n v="64"/>
    <x v="2"/>
    <x v="6"/>
    <x v="8"/>
    <d v="2026-04-16T17:01:02"/>
  </r>
  <r>
    <n v="1289"/>
    <s v="Vanessa"/>
    <s v="Chen"/>
    <n v="41"/>
    <x v="2"/>
    <x v="3"/>
    <x v="5"/>
    <d v="2026-04-16T17:01:17"/>
  </r>
  <r>
    <n v="1290"/>
    <s v="Vincent"/>
    <s v="Moore"/>
    <n v="31"/>
    <x v="0"/>
    <x v="5"/>
    <x v="1"/>
    <d v="2026-04-16T17:01:28"/>
  </r>
  <r>
    <n v="1291"/>
    <s v="Judith"/>
    <s v="Richardson"/>
    <n v="59"/>
    <x v="1"/>
    <x v="5"/>
    <x v="8"/>
    <d v="2026-04-16T17:01:42"/>
  </r>
  <r>
    <n v="1292"/>
    <s v="Jacqueline"/>
    <s v="George"/>
    <n v="34"/>
    <x v="1"/>
    <x v="0"/>
    <x v="2"/>
    <d v="2026-04-16T17:01:59"/>
  </r>
  <r>
    <n v="1293"/>
    <s v="Michelle"/>
    <s v="Zuniga"/>
    <n v="66"/>
    <x v="1"/>
    <x v="3"/>
    <x v="4"/>
    <d v="2026-04-16T17:02:15"/>
  </r>
  <r>
    <n v="1294"/>
    <s v="Yvonne"/>
    <s v="Lin"/>
    <n v="29"/>
    <x v="1"/>
    <x v="0"/>
    <x v="0"/>
    <d v="2026-04-16T17:02:36"/>
  </r>
  <r>
    <n v="1295"/>
    <s v="Sarah"/>
    <s v="Williams"/>
    <n v="53"/>
    <x v="1"/>
    <x v="4"/>
    <x v="0"/>
    <d v="2026-04-16T17:03:05"/>
  </r>
  <r>
    <n v="1296"/>
    <s v="Aimee"/>
    <s v="Roberson"/>
    <n v="38"/>
    <x v="2"/>
    <x v="3"/>
    <x v="19"/>
    <d v="2026-04-16T17:03:17"/>
  </r>
  <r>
    <n v="1297"/>
    <s v="David"/>
    <s v="Marsh"/>
    <n v="44"/>
    <x v="2"/>
    <x v="4"/>
    <x v="14"/>
    <d v="2026-04-16T17:03:40"/>
  </r>
  <r>
    <n v="1298"/>
    <s v="Michael"/>
    <s v="Christian"/>
    <n v="41"/>
    <x v="0"/>
    <x v="3"/>
    <x v="17"/>
    <d v="2026-04-16T17:03:58"/>
  </r>
  <r>
    <n v="1299"/>
    <s v="Rachel"/>
    <s v="Wilson"/>
    <n v="32"/>
    <x v="1"/>
    <x v="6"/>
    <x v="0"/>
    <d v="2026-04-16T17:04:12"/>
  </r>
  <r>
    <n v="1300"/>
    <s v="Kenneth"/>
    <s v="Miller"/>
    <n v="60"/>
    <x v="2"/>
    <x v="3"/>
    <x v="14"/>
    <d v="2026-04-16T17:04:25"/>
  </r>
  <r>
    <n v="1301"/>
    <s v="Anne"/>
    <s v="Evans"/>
    <n v="59"/>
    <x v="2"/>
    <x v="3"/>
    <x v="0"/>
    <d v="2026-04-16T17:04:38"/>
  </r>
  <r>
    <n v="1302"/>
    <s v="Diana"/>
    <s v="Nicholson"/>
    <n v="61"/>
    <x v="2"/>
    <x v="5"/>
    <x v="19"/>
    <d v="2026-04-16T17:05:05"/>
  </r>
  <r>
    <n v="1303"/>
    <s v="Travis"/>
    <s v="Hughes"/>
    <n v="47"/>
    <x v="0"/>
    <x v="4"/>
    <x v="5"/>
    <d v="2026-04-16T17:05:24"/>
  </r>
  <r>
    <n v="1304"/>
    <s v="Sarah"/>
    <s v="Gomez"/>
    <n v="44"/>
    <x v="2"/>
    <x v="0"/>
    <x v="7"/>
    <d v="2026-04-16T17:05:51"/>
  </r>
  <r>
    <n v="1305"/>
    <s v="Amanda"/>
    <s v="Townsend"/>
    <n v="41"/>
    <x v="2"/>
    <x v="6"/>
    <x v="2"/>
    <d v="2026-04-16T17:06:08"/>
  </r>
  <r>
    <n v="1306"/>
    <s v="Latasha"/>
    <s v="Rodriguez"/>
    <n v="44"/>
    <x v="0"/>
    <x v="2"/>
    <x v="14"/>
    <d v="2026-04-16T17:06:28"/>
  </r>
  <r>
    <n v="1307"/>
    <s v="Kendra"/>
    <s v="Holmes"/>
    <n v="55"/>
    <x v="2"/>
    <x v="3"/>
    <x v="0"/>
    <d v="2026-04-16T17:06:43"/>
  </r>
  <r>
    <n v="1308"/>
    <s v="Christopher"/>
    <s v="Davenport"/>
    <n v="49"/>
    <x v="2"/>
    <x v="0"/>
    <x v="1"/>
    <d v="2026-07-05T11:07:22"/>
  </r>
  <r>
    <n v="1309"/>
    <s v="Daniel"/>
    <s v="Jimenez"/>
    <n v="30"/>
    <x v="0"/>
    <x v="4"/>
    <x v="2"/>
    <d v="2026-07-05T11:07:43"/>
  </r>
  <r>
    <n v="1310"/>
    <s v="Rebekah"/>
    <s v="Gardner"/>
    <n v="23"/>
    <x v="2"/>
    <x v="1"/>
    <x v="17"/>
    <d v="2026-07-05T11:07:59"/>
  </r>
  <r>
    <n v="1311"/>
    <s v="Amanda"/>
    <s v="Fields"/>
    <n v="62"/>
    <x v="1"/>
    <x v="2"/>
    <x v="3"/>
    <d v="2026-07-05T11:08:29"/>
  </r>
  <r>
    <n v="1312"/>
    <s v="Ryan"/>
    <s v="Maxwell"/>
    <n v="52"/>
    <x v="2"/>
    <x v="3"/>
    <x v="18"/>
    <d v="2026-07-05T11:08:44"/>
  </r>
  <r>
    <n v="1313"/>
    <s v="Barbara"/>
    <s v="Howard"/>
    <n v="52"/>
    <x v="2"/>
    <x v="3"/>
    <x v="5"/>
    <d v="2026-07-05T11:09:05"/>
  </r>
  <r>
    <n v="1314"/>
    <s v="Joseph"/>
    <s v="Rice"/>
    <n v="36"/>
    <x v="1"/>
    <x v="2"/>
    <x v="18"/>
    <d v="2026-07-05T11:09:26"/>
  </r>
  <r>
    <n v="1315"/>
    <s v="Melissa"/>
    <s v="Reyes"/>
    <n v="41"/>
    <x v="2"/>
    <x v="3"/>
    <x v="16"/>
    <d v="2026-07-05T11:09:39"/>
  </r>
  <r>
    <n v="1316"/>
    <s v="Robert"/>
    <s v="Sullivan"/>
    <n v="52"/>
    <x v="0"/>
    <x v="3"/>
    <x v="17"/>
    <d v="2026-07-05T11:09:59"/>
  </r>
  <r>
    <n v="1317"/>
    <s v="Carolyn"/>
    <s v="Ellison"/>
    <n v="70"/>
    <x v="1"/>
    <x v="2"/>
    <x v="2"/>
    <d v="2026-07-05T11:10:27"/>
  </r>
  <r>
    <n v="1318"/>
    <s v="Michael"/>
    <s v="Johnson"/>
    <n v="36"/>
    <x v="1"/>
    <x v="2"/>
    <x v="9"/>
    <d v="2026-07-05T11:10:38"/>
  </r>
  <r>
    <n v="1319"/>
    <s v="Ashley"/>
    <s v="Brown"/>
    <n v="65"/>
    <x v="0"/>
    <x v="4"/>
    <x v="8"/>
    <d v="2026-07-05T11:10:56"/>
  </r>
  <r>
    <n v="1320"/>
    <s v="Robert"/>
    <s v="Nguyen"/>
    <n v="61"/>
    <x v="2"/>
    <x v="5"/>
    <x v="19"/>
    <d v="2026-07-05T11:11:07"/>
  </r>
  <r>
    <n v="1321"/>
    <s v="Joseph"/>
    <s v="Dennis"/>
    <n v="46"/>
    <x v="1"/>
    <x v="5"/>
    <x v="14"/>
    <d v="2026-07-05T11:11:36"/>
  </r>
  <r>
    <n v="1322"/>
    <s v="Jessica"/>
    <s v="Carroll"/>
    <n v="58"/>
    <x v="2"/>
    <x v="6"/>
    <x v="9"/>
    <d v="2026-07-05T11:11:50"/>
  </r>
  <r>
    <n v="1323"/>
    <s v="Stephanie"/>
    <s v="Stevens"/>
    <n v="35"/>
    <x v="0"/>
    <x v="3"/>
    <x v="19"/>
    <d v="2026-07-05T11:12:12"/>
  </r>
  <r>
    <n v="1324"/>
    <s v="Nicole"/>
    <s v="Sanders"/>
    <n v="67"/>
    <x v="1"/>
    <x v="4"/>
    <x v="18"/>
    <d v="2026-07-05T11:12:23"/>
  </r>
  <r>
    <n v="1325"/>
    <s v="Charles"/>
    <s v="Rodriguez"/>
    <n v="61"/>
    <x v="1"/>
    <x v="2"/>
    <x v="13"/>
    <d v="2026-07-05T11:12:42"/>
  </r>
  <r>
    <n v="1326"/>
    <s v="Sheila"/>
    <s v="Scott"/>
    <n v="39"/>
    <x v="0"/>
    <x v="3"/>
    <x v="13"/>
    <d v="2026-07-05T11:13:06"/>
  </r>
  <r>
    <n v="1327"/>
    <s v="Antonio"/>
    <s v="Ramirez"/>
    <n v="55"/>
    <x v="2"/>
    <x v="0"/>
    <x v="1"/>
    <d v="2026-07-05T11:13:33"/>
  </r>
  <r>
    <n v="1328"/>
    <s v="Ricardo"/>
    <s v="Jordan"/>
    <n v="31"/>
    <x v="0"/>
    <x v="5"/>
    <x v="3"/>
    <d v="2026-07-05T11:13:46"/>
  </r>
  <r>
    <n v="1329"/>
    <s v="Samuel"/>
    <s v="Cowan"/>
    <n v="33"/>
    <x v="2"/>
    <x v="0"/>
    <x v="7"/>
    <d v="2026-07-05T11:14:00"/>
  </r>
  <r>
    <n v="1330"/>
    <s v="Steven"/>
    <s v="King"/>
    <n v="20"/>
    <x v="1"/>
    <x v="1"/>
    <x v="3"/>
    <d v="2026-07-05T11:14:23"/>
  </r>
  <r>
    <n v="1331"/>
    <s v="Carlos"/>
    <s v="Lawson"/>
    <n v="58"/>
    <x v="2"/>
    <x v="3"/>
    <x v="9"/>
    <d v="2026-07-05T11:14:41"/>
  </r>
  <r>
    <n v="1332"/>
    <s v="Robert"/>
    <s v="Johnson"/>
    <n v="65"/>
    <x v="1"/>
    <x v="6"/>
    <x v="16"/>
    <d v="2026-07-05T11:14:58"/>
  </r>
  <r>
    <n v="1333"/>
    <s v="Jacqueline"/>
    <s v="Harmon"/>
    <n v="18"/>
    <x v="2"/>
    <x v="4"/>
    <x v="17"/>
    <d v="2026-07-05T11:15:14"/>
  </r>
  <r>
    <n v="1334"/>
    <s v="Jodi"/>
    <s v="Johnson"/>
    <n v="37"/>
    <x v="0"/>
    <x v="2"/>
    <x v="16"/>
    <d v="2026-07-05T11:15:42"/>
  </r>
  <r>
    <n v="1335"/>
    <s v="Lance"/>
    <s v="Stafford"/>
    <n v="20"/>
    <x v="2"/>
    <x v="2"/>
    <x v="17"/>
    <d v="2026-07-05T11:16:06"/>
  </r>
  <r>
    <n v="1336"/>
    <s v="Deborah"/>
    <s v="Odonnell"/>
    <n v="68"/>
    <x v="0"/>
    <x v="1"/>
    <x v="2"/>
    <d v="2026-07-05T11:16:36"/>
  </r>
  <r>
    <n v="1337"/>
    <s v="Jennifer"/>
    <s v="Anderson"/>
    <n v="18"/>
    <x v="2"/>
    <x v="0"/>
    <x v="6"/>
    <d v="2026-07-05T11:16:48"/>
  </r>
  <r>
    <n v="1338"/>
    <s v="Mark"/>
    <s v="Cox"/>
    <n v="49"/>
    <x v="1"/>
    <x v="2"/>
    <x v="0"/>
    <d v="2026-07-05T11:17:17"/>
  </r>
  <r>
    <n v="1339"/>
    <s v="Jason"/>
    <s v="Adams"/>
    <n v="61"/>
    <x v="2"/>
    <x v="3"/>
    <x v="8"/>
    <d v="2026-07-05T11:17:42"/>
  </r>
  <r>
    <n v="1340"/>
    <s v="Darryl"/>
    <s v="Strickland"/>
    <n v="68"/>
    <x v="2"/>
    <x v="5"/>
    <x v="10"/>
    <d v="2026-07-05T11:18:05"/>
  </r>
  <r>
    <n v="1341"/>
    <s v="Rodney"/>
    <s v="Livingston"/>
    <n v="64"/>
    <x v="1"/>
    <x v="0"/>
    <x v="7"/>
    <d v="2026-07-05T11:18:34"/>
  </r>
  <r>
    <n v="1342"/>
    <s v="Samantha"/>
    <s v="Brown"/>
    <n v="50"/>
    <x v="1"/>
    <x v="5"/>
    <x v="7"/>
    <d v="2026-07-05T11:18:58"/>
  </r>
  <r>
    <n v="1343"/>
    <s v="Gregory"/>
    <s v="Robinson"/>
    <n v="39"/>
    <x v="1"/>
    <x v="1"/>
    <x v="19"/>
    <d v="2026-07-05T11:19:16"/>
  </r>
  <r>
    <n v="1344"/>
    <s v="Ryan"/>
    <s v="Gonzalez"/>
    <n v="53"/>
    <x v="0"/>
    <x v="1"/>
    <x v="10"/>
    <d v="2026-07-05T11:19:30"/>
  </r>
  <r>
    <n v="1345"/>
    <s v="Michael"/>
    <s v="Walker"/>
    <n v="45"/>
    <x v="1"/>
    <x v="4"/>
    <x v="5"/>
    <d v="2026-07-05T11:19:42"/>
  </r>
  <r>
    <n v="1346"/>
    <s v="David"/>
    <s v="Wagner"/>
    <n v="25"/>
    <x v="0"/>
    <x v="3"/>
    <x v="13"/>
    <d v="2026-07-05T11:19:55"/>
  </r>
  <r>
    <n v="1347"/>
    <s v="Christopher"/>
    <s v="Bailey"/>
    <n v="33"/>
    <x v="1"/>
    <x v="2"/>
    <x v="11"/>
    <d v="2026-07-05T11:20:22"/>
  </r>
  <r>
    <n v="1348"/>
    <s v="John"/>
    <s v="Luna"/>
    <n v="66"/>
    <x v="1"/>
    <x v="5"/>
    <x v="14"/>
    <d v="2026-07-05T11:20:48"/>
  </r>
  <r>
    <n v="1349"/>
    <s v="Blake"/>
    <s v="Hart"/>
    <n v="55"/>
    <x v="0"/>
    <x v="4"/>
    <x v="3"/>
    <d v="2026-07-05T11:21:13"/>
  </r>
  <r>
    <n v="1350"/>
    <s v="Jacqueline"/>
    <s v="Tran"/>
    <n v="47"/>
    <x v="1"/>
    <x v="4"/>
    <x v="12"/>
    <d v="2026-07-05T11:21:35"/>
  </r>
  <r>
    <n v="1351"/>
    <s v="Kevin"/>
    <s v="Vaughan"/>
    <n v="29"/>
    <x v="2"/>
    <x v="2"/>
    <x v="7"/>
    <d v="2026-07-05T11:22:02"/>
  </r>
  <r>
    <n v="1352"/>
    <s v="Jason"/>
    <s v="Atkinson"/>
    <n v="20"/>
    <x v="2"/>
    <x v="4"/>
    <x v="0"/>
    <d v="2026-07-05T11:22:27"/>
  </r>
  <r>
    <n v="1353"/>
    <s v="Adam"/>
    <s v="Mcdonald"/>
    <n v="20"/>
    <x v="2"/>
    <x v="4"/>
    <x v="6"/>
    <d v="2026-07-05T11:22:49"/>
  </r>
  <r>
    <n v="1354"/>
    <s v="Audrey"/>
    <s v="Cummings"/>
    <n v="25"/>
    <x v="0"/>
    <x v="5"/>
    <x v="2"/>
    <d v="2026-07-05T11:23:04"/>
  </r>
  <r>
    <n v="1355"/>
    <s v="Nicole"/>
    <s v="Franklin"/>
    <n v="32"/>
    <x v="2"/>
    <x v="0"/>
    <x v="15"/>
    <d v="2026-07-05T11:23:30"/>
  </r>
  <r>
    <n v="1356"/>
    <s v="David"/>
    <s v="Hicks"/>
    <n v="58"/>
    <x v="1"/>
    <x v="3"/>
    <x v="16"/>
    <d v="2026-07-05T11:23:55"/>
  </r>
  <r>
    <n v="1357"/>
    <s v="Lori"/>
    <s v="Aguirre"/>
    <n v="59"/>
    <x v="0"/>
    <x v="4"/>
    <x v="1"/>
    <d v="2026-07-05T11:24:21"/>
  </r>
  <r>
    <n v="1358"/>
    <s v="Gregory"/>
    <s v="King"/>
    <n v="52"/>
    <x v="1"/>
    <x v="6"/>
    <x v="3"/>
    <d v="2026-07-05T11:24:31"/>
  </r>
  <r>
    <n v="1359"/>
    <s v="Christopher"/>
    <s v="Chen"/>
    <n v="23"/>
    <x v="1"/>
    <x v="4"/>
    <x v="6"/>
    <d v="2026-07-05T11:24:54"/>
  </r>
  <r>
    <n v="1360"/>
    <s v="Joshua"/>
    <s v="Thomas"/>
    <n v="60"/>
    <x v="1"/>
    <x v="5"/>
    <x v="16"/>
    <d v="2026-07-05T11:25:19"/>
  </r>
  <r>
    <n v="1361"/>
    <s v="Tiffany"/>
    <s v="Coleman"/>
    <n v="69"/>
    <x v="0"/>
    <x v="1"/>
    <x v="13"/>
    <d v="2026-07-05T11:25:35"/>
  </r>
  <r>
    <n v="1362"/>
    <s v="Crystal"/>
    <s v="Castro"/>
    <n v="59"/>
    <x v="2"/>
    <x v="0"/>
    <x v="2"/>
    <d v="2026-07-05T11:25:54"/>
  </r>
  <r>
    <n v="1363"/>
    <s v="Nicole"/>
    <s v="Mckenzie"/>
    <n v="58"/>
    <x v="1"/>
    <x v="3"/>
    <x v="8"/>
    <d v="2026-07-05T11:26:15"/>
  </r>
  <r>
    <n v="1364"/>
    <s v="Brenda"/>
    <s v="Hill"/>
    <n v="36"/>
    <x v="2"/>
    <x v="3"/>
    <x v="0"/>
    <d v="2026-07-05T11:26:31"/>
  </r>
  <r>
    <n v="1365"/>
    <s v="Debbie"/>
    <s v="Clark"/>
    <n v="28"/>
    <x v="1"/>
    <x v="5"/>
    <x v="4"/>
    <d v="2026-07-05T11:26:48"/>
  </r>
  <r>
    <n v="1366"/>
    <s v="Tammie"/>
    <s v="Malone"/>
    <n v="65"/>
    <x v="1"/>
    <x v="6"/>
    <x v="4"/>
    <d v="2026-07-05T11:27:08"/>
  </r>
  <r>
    <n v="1367"/>
    <s v="Chad"/>
    <s v="Williams"/>
    <n v="27"/>
    <x v="2"/>
    <x v="3"/>
    <x v="8"/>
    <d v="2026-07-05T11:27:22"/>
  </r>
  <r>
    <n v="1368"/>
    <s v="Daniel"/>
    <s v="Lee"/>
    <n v="54"/>
    <x v="1"/>
    <x v="2"/>
    <x v="18"/>
    <d v="2026-07-05T11:27:52"/>
  </r>
  <r>
    <n v="1369"/>
    <s v="Alyssa"/>
    <s v="Gamble"/>
    <n v="40"/>
    <x v="1"/>
    <x v="0"/>
    <x v="19"/>
    <d v="2026-07-05T11:28:02"/>
  </r>
  <r>
    <n v="1370"/>
    <s v="William"/>
    <s v="Davis"/>
    <n v="53"/>
    <x v="1"/>
    <x v="3"/>
    <x v="14"/>
    <d v="2026-07-05T11:28:21"/>
  </r>
  <r>
    <n v="1371"/>
    <s v="Alex"/>
    <s v="Harvey"/>
    <n v="66"/>
    <x v="2"/>
    <x v="2"/>
    <x v="8"/>
    <d v="2026-07-05T11:28:33"/>
  </r>
  <r>
    <n v="1372"/>
    <s v="Kenneth"/>
    <s v="Johnson"/>
    <n v="29"/>
    <x v="2"/>
    <x v="4"/>
    <x v="5"/>
    <d v="2026-07-05T11:28:49"/>
  </r>
  <r>
    <n v="1373"/>
    <s v="Alexis"/>
    <s v="Nelson"/>
    <n v="65"/>
    <x v="2"/>
    <x v="5"/>
    <x v="3"/>
    <d v="2026-07-05T11:29:05"/>
  </r>
  <r>
    <n v="1374"/>
    <s v="Megan"/>
    <s v="Wilson"/>
    <n v="51"/>
    <x v="0"/>
    <x v="0"/>
    <x v="13"/>
    <d v="2026-07-05T11:29:31"/>
  </r>
  <r>
    <n v="1375"/>
    <s v="Robert"/>
    <s v="Roberson"/>
    <n v="23"/>
    <x v="0"/>
    <x v="4"/>
    <x v="3"/>
    <d v="2026-07-05T11:29:43"/>
  </r>
  <r>
    <n v="1376"/>
    <s v="Adrienne"/>
    <s v="Davis"/>
    <n v="21"/>
    <x v="1"/>
    <x v="6"/>
    <x v="1"/>
    <d v="2026-07-05T11:30:10"/>
  </r>
  <r>
    <n v="1377"/>
    <s v="Carol"/>
    <s v="Johnson"/>
    <n v="47"/>
    <x v="0"/>
    <x v="0"/>
    <x v="17"/>
    <d v="2026-07-05T11:30:23"/>
  </r>
  <r>
    <n v="1378"/>
    <s v="Gabrielle"/>
    <s v="Wilson"/>
    <n v="42"/>
    <x v="2"/>
    <x v="0"/>
    <x v="5"/>
    <d v="2026-07-05T11:30:43"/>
  </r>
  <r>
    <n v="1379"/>
    <s v="Joseph"/>
    <s v="Baker"/>
    <n v="52"/>
    <x v="2"/>
    <x v="6"/>
    <x v="16"/>
    <d v="2026-07-05T11:31:13"/>
  </r>
  <r>
    <n v="1380"/>
    <s v="Tiffany"/>
    <s v="White"/>
    <n v="67"/>
    <x v="0"/>
    <x v="3"/>
    <x v="0"/>
    <d v="2026-07-05T11:31:28"/>
  </r>
  <r>
    <n v="1381"/>
    <s v="Ashley"/>
    <s v="Kramer"/>
    <n v="37"/>
    <x v="0"/>
    <x v="3"/>
    <x v="0"/>
    <d v="2026-07-05T11:31:45"/>
  </r>
  <r>
    <n v="1382"/>
    <s v="James"/>
    <s v="Robinson"/>
    <n v="52"/>
    <x v="1"/>
    <x v="6"/>
    <x v="1"/>
    <d v="2026-07-05T11:32:05"/>
  </r>
  <r>
    <n v="1383"/>
    <s v="Sheri"/>
    <s v="Johnson"/>
    <n v="46"/>
    <x v="1"/>
    <x v="3"/>
    <x v="6"/>
    <d v="2026-07-05T11:32:34"/>
  </r>
  <r>
    <n v="1384"/>
    <s v="Daniel"/>
    <s v="Casey"/>
    <n v="61"/>
    <x v="1"/>
    <x v="4"/>
    <x v="10"/>
    <d v="2026-07-05T11:32:59"/>
  </r>
  <r>
    <n v="1385"/>
    <s v="Kathryn"/>
    <s v="Pitts"/>
    <n v="64"/>
    <x v="1"/>
    <x v="0"/>
    <x v="0"/>
    <d v="2026-07-05T11:33:29"/>
  </r>
  <r>
    <n v="1386"/>
    <s v="Oscar"/>
    <s v="Collins"/>
    <n v="32"/>
    <x v="0"/>
    <x v="3"/>
    <x v="7"/>
    <d v="2026-07-05T11:33:51"/>
  </r>
  <r>
    <n v="1387"/>
    <s v="Laura"/>
    <s v="Peterson"/>
    <n v="54"/>
    <x v="2"/>
    <x v="4"/>
    <x v="5"/>
    <d v="2026-07-05T11:34:10"/>
  </r>
  <r>
    <n v="1388"/>
    <s v="Elizabeth"/>
    <s v="Simmons"/>
    <n v="57"/>
    <x v="1"/>
    <x v="5"/>
    <x v="3"/>
    <d v="2026-07-05T11:34:22"/>
  </r>
  <r>
    <n v="1389"/>
    <s v="Tiffany"/>
    <s v="Salazar"/>
    <n v="51"/>
    <x v="2"/>
    <x v="0"/>
    <x v="13"/>
    <d v="2026-07-05T11:34:40"/>
  </r>
  <r>
    <n v="1390"/>
    <s v="Elizabeth"/>
    <s v="Lopez"/>
    <n v="49"/>
    <x v="2"/>
    <x v="3"/>
    <x v="16"/>
    <d v="2026-07-05T11:34:54"/>
  </r>
  <r>
    <n v="1391"/>
    <s v="Kimberly"/>
    <s v="Ortega"/>
    <n v="60"/>
    <x v="1"/>
    <x v="6"/>
    <x v="14"/>
    <d v="2026-07-05T11:35:06"/>
  </r>
  <r>
    <n v="1392"/>
    <s v="Heather"/>
    <s v="Bond"/>
    <n v="60"/>
    <x v="0"/>
    <x v="3"/>
    <x v="18"/>
    <d v="2026-07-05T11:35:16"/>
  </r>
  <r>
    <n v="1393"/>
    <s v="Tina"/>
    <s v="Ward"/>
    <n v="21"/>
    <x v="1"/>
    <x v="0"/>
    <x v="8"/>
    <d v="2026-07-05T11:35:32"/>
  </r>
  <r>
    <n v="1394"/>
    <s v="Jacqueline"/>
    <s v="Morrow"/>
    <n v="24"/>
    <x v="2"/>
    <x v="2"/>
    <x v="3"/>
    <d v="2026-07-05T11:36:02"/>
  </r>
  <r>
    <n v="1395"/>
    <s v="Jasmin"/>
    <s v="Hobbs"/>
    <n v="19"/>
    <x v="0"/>
    <x v="4"/>
    <x v="16"/>
    <d v="2026-07-05T11:36:16"/>
  </r>
  <r>
    <n v="1396"/>
    <s v="George"/>
    <s v="Thompson"/>
    <n v="49"/>
    <x v="1"/>
    <x v="3"/>
    <x v="11"/>
    <d v="2026-07-05T11:36:43"/>
  </r>
  <r>
    <n v="1397"/>
    <s v="Cathy"/>
    <s v="Martinez"/>
    <n v="49"/>
    <x v="1"/>
    <x v="4"/>
    <x v="18"/>
    <d v="2026-07-05T11:36:59"/>
  </r>
  <r>
    <n v="1398"/>
    <s v="Jennifer"/>
    <s v="Hampton"/>
    <n v="69"/>
    <x v="0"/>
    <x v="0"/>
    <x v="2"/>
    <d v="2026-07-05T11:37:12"/>
  </r>
  <r>
    <n v="1399"/>
    <s v="Wendy"/>
    <s v="Wagner"/>
    <n v="46"/>
    <x v="2"/>
    <x v="3"/>
    <x v="15"/>
    <d v="2026-07-05T11:37:24"/>
  </r>
  <r>
    <n v="1400"/>
    <s v="Pamela"/>
    <s v="Lopez"/>
    <n v="42"/>
    <x v="0"/>
    <x v="2"/>
    <x v="19"/>
    <d v="2026-07-05T11:37:40"/>
  </r>
  <r>
    <n v="1401"/>
    <s v="Jamie"/>
    <s v="Harris"/>
    <n v="22"/>
    <x v="2"/>
    <x v="4"/>
    <x v="1"/>
    <d v="2026-07-05T11:37:54"/>
  </r>
  <r>
    <n v="1402"/>
    <s v="Jacob"/>
    <s v="Diaz"/>
    <n v="44"/>
    <x v="0"/>
    <x v="6"/>
    <x v="15"/>
    <d v="2026-07-05T11:38:11"/>
  </r>
  <r>
    <n v="1403"/>
    <s v="Danielle"/>
    <s v="Robinson"/>
    <n v="58"/>
    <x v="0"/>
    <x v="1"/>
    <x v="3"/>
    <d v="2026-07-05T11:38:23"/>
  </r>
  <r>
    <n v="1404"/>
    <s v="Evelyn"/>
    <s v="Dean"/>
    <n v="61"/>
    <x v="1"/>
    <x v="2"/>
    <x v="14"/>
    <d v="2026-07-05T11:38:34"/>
  </r>
  <r>
    <n v="1405"/>
    <s v="William"/>
    <s v="Garza"/>
    <n v="58"/>
    <x v="2"/>
    <x v="1"/>
    <x v="16"/>
    <d v="2026-07-05T11:38:58"/>
  </r>
  <r>
    <n v="1406"/>
    <s v="Cynthia"/>
    <s v="Sanchez"/>
    <n v="32"/>
    <x v="0"/>
    <x v="6"/>
    <x v="8"/>
    <d v="2026-07-05T11:39:11"/>
  </r>
  <r>
    <n v="1407"/>
    <s v="Emily"/>
    <s v="Davenport"/>
    <n v="26"/>
    <x v="2"/>
    <x v="5"/>
    <x v="17"/>
    <d v="2026-07-05T11:39: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F7876-55C8-4CC5-AE98-449EFA3CE8F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fieldListSortAscending="1">
  <location ref="E10:F25" firstHeaderRow="1" firstDataRow="1" firstDataCol="1"/>
  <pivotFields count="8">
    <pivotField dataField="1" showAll="0"/>
    <pivotField showAll="0"/>
    <pivotField showAll="0"/>
    <pivotField showAll="0"/>
    <pivotField axis="axisRow" showAll="0">
      <items count="4">
        <item h="1" x="2"/>
        <item h="1" x="0"/>
        <item x="1"/>
        <item t="default"/>
      </items>
    </pivotField>
    <pivotField axis="axisRow" showAll="0">
      <items count="8">
        <item x="3"/>
        <item x="4"/>
        <item x="0"/>
        <item x="5"/>
        <item x="1"/>
        <item x="6"/>
        <item x="2"/>
        <item t="default"/>
      </items>
    </pivotField>
    <pivotField showAll="0"/>
    <pivotField showAll="0"/>
  </pivotFields>
  <rowFields count="2">
    <field x="5"/>
    <field x="4"/>
  </rowFields>
  <rowItems count="15">
    <i>
      <x/>
    </i>
    <i r="1">
      <x v="2"/>
    </i>
    <i>
      <x v="1"/>
    </i>
    <i r="1">
      <x v="2"/>
    </i>
    <i>
      <x v="2"/>
    </i>
    <i r="1">
      <x v="2"/>
    </i>
    <i>
      <x v="3"/>
    </i>
    <i r="1">
      <x v="2"/>
    </i>
    <i>
      <x v="4"/>
    </i>
    <i r="1">
      <x v="2"/>
    </i>
    <i>
      <x v="5"/>
    </i>
    <i r="1">
      <x v="2"/>
    </i>
    <i>
      <x v="6"/>
    </i>
    <i r="1">
      <x v="2"/>
    </i>
    <i t="grand">
      <x/>
    </i>
  </rowItems>
  <colItems count="1">
    <i/>
  </colItems>
  <dataFields count="1">
    <dataField name="Count of id" fld="0" subtotal="count" baseField="4"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3B721-77AF-4D15-B0AB-AA89A33DCEE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D3:H6" firstHeaderRow="1" firstDataRow="2" firstDataCol="1"/>
  <pivotFields count="8">
    <pivotField showAll="0"/>
    <pivotField showAll="0"/>
    <pivotField showAll="0"/>
    <pivotField showAll="0"/>
    <pivotField axis="axisCol" dataField="1" showAll="0">
      <items count="4">
        <item x="2"/>
        <item x="0"/>
        <item x="1"/>
        <item t="default"/>
      </items>
    </pivotField>
    <pivotField axis="axisRow" showAll="0">
      <items count="8">
        <item h="1" x="3"/>
        <item x="4"/>
        <item h="1" x="0"/>
        <item h="1" x="5"/>
        <item h="1" x="1"/>
        <item h="1" x="6"/>
        <item h="1" x="2"/>
        <item t="default"/>
      </items>
    </pivotField>
    <pivotField showAll="0"/>
    <pivotField showAll="0"/>
  </pivotFields>
  <rowFields count="1">
    <field x="5"/>
  </rowFields>
  <rowItems count="2">
    <i>
      <x v="1"/>
    </i>
    <i t="grand">
      <x/>
    </i>
  </rowItems>
  <colFields count="1">
    <field x="4"/>
  </colFields>
  <colItems count="4">
    <i>
      <x/>
    </i>
    <i>
      <x v="1"/>
    </i>
    <i>
      <x v="2"/>
    </i>
    <i t="grand">
      <x/>
    </i>
  </colItems>
  <dataFields count="1">
    <dataField name="Count of gender" fld="4" subtotal="count" baseField="0" baseItem="0"/>
  </dataFields>
  <chartFormats count="4">
    <chartFormat chart="6" format="6" series="1">
      <pivotArea type="data" outline="0" fieldPosition="0">
        <references count="2">
          <reference field="4294967294" count="1" selected="0">
            <x v="0"/>
          </reference>
          <reference field="4" count="1" selected="0">
            <x v="0"/>
          </reference>
        </references>
      </pivotArea>
    </chartFormat>
    <chartFormat chart="6" format="7" series="1">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2">
          <reference field="4294967294" count="1" selected="0">
            <x v="0"/>
          </reference>
          <reference field="4" count="1" selected="0">
            <x v="2"/>
          </reference>
        </references>
      </pivotArea>
    </chartFormat>
    <chartFormat chart="6" format="9">
      <pivotArea type="data" outline="0" fieldPosition="0">
        <references count="3">
          <reference field="4294967294" count="1" selected="0">
            <x v="0"/>
          </reference>
          <reference field="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BC37E2-9F77-410B-8351-29833AAE334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M25:N46" firstHeaderRow="1" firstDataRow="1" firstDataCol="1"/>
  <pivotFields count="11">
    <pivotField showAll="0"/>
    <pivotField axis="axisRow" showAll="0">
      <items count="21">
        <item x="3"/>
        <item x="6"/>
        <item x="17"/>
        <item x="9"/>
        <item x="11"/>
        <item x="15"/>
        <item x="7"/>
        <item x="0"/>
        <item x="16"/>
        <item x="1"/>
        <item x="12"/>
        <item x="5"/>
        <item x="14"/>
        <item x="10"/>
        <item x="18"/>
        <item x="19"/>
        <item x="8"/>
        <item x="4"/>
        <item x="13"/>
        <item x="2"/>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rating" fld="8" subtotal="average" baseField="1" baseItem="0" numFmtId="2"/>
  </dataFields>
  <formats count="3">
    <format dxfId="3">
      <pivotArea outline="0" collapsedLevelsAreSubtotals="1" fieldPosition="0"/>
    </format>
    <format dxfId="2">
      <pivotArea collapsedLevelsAreSubtotals="1" fieldPosition="0">
        <references count="1">
          <reference field="1" count="1">
            <x v="1"/>
          </reference>
        </references>
      </pivotArea>
    </format>
    <format dxfId="1">
      <pivotArea collapsedLevelsAreSubtotals="1" fieldPosition="0">
        <references count="1">
          <reference field="1"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135E4-BBFE-4DCA-A738-A783A68A04B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fieldListSortAscending="1">
  <location ref="A3:B24" firstHeaderRow="1" firstDataRow="1" firstDataCol="1"/>
  <pivotFields count="11">
    <pivotField showAll="0"/>
    <pivotField axis="axisRow" showAll="0">
      <items count="21">
        <item x="3"/>
        <item x="6"/>
        <item x="17"/>
        <item x="9"/>
        <item x="11"/>
        <item x="15"/>
        <item x="7"/>
        <item x="0"/>
        <item x="16"/>
        <item x="1"/>
        <item x="12"/>
        <item x="5"/>
        <item x="14"/>
        <item x="10"/>
        <item x="18"/>
        <item x="19"/>
        <item x="8"/>
        <item x="4"/>
        <item x="13"/>
        <item x="2"/>
        <item t="default"/>
      </items>
    </pivotField>
    <pivotField showAll="0"/>
    <pivotField showAll="0">
      <items count="8">
        <item x="6"/>
        <item x="3"/>
        <item x="0"/>
        <item x="2"/>
        <item x="1"/>
        <item x="4"/>
        <item x="5"/>
        <item t="default"/>
      </items>
    </pivotField>
    <pivotField dataField="1" showAll="0"/>
    <pivotField showAll="0"/>
    <pivotField showAll="0"/>
    <pivotField showAll="0">
      <items count="3">
        <item x="0"/>
        <item x="1"/>
        <item t="default"/>
      </items>
    </pivotField>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hipments_count" fld="4" baseField="0" baseItem="0" numFmtId="165"/>
  </dataFields>
  <formats count="4">
    <format dxfId="7">
      <pivotArea collapsedLevelsAreSubtotals="1" fieldPosition="0">
        <references count="1">
          <reference field="1" count="0"/>
        </references>
      </pivotArea>
    </format>
    <format dxfId="6">
      <pivotArea dataOnly="0" outline="0" axis="axisValues" fieldPosition="0"/>
    </format>
    <format dxfId="5">
      <pivotArea outline="0" collapsedLevelsAreSubtotals="1" fieldPosition="0"/>
    </format>
    <format dxfId="4">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0D1D3B-483E-4A02-96F1-BD5451FC3C1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fieldListSortAscending="1">
  <location ref="M2:N23" firstHeaderRow="1" firstDataRow="1" firstDataCol="1"/>
  <pivotFields count="11">
    <pivotField showAll="0"/>
    <pivotField axis="axisRow" showAll="0">
      <items count="21">
        <item x="3"/>
        <item x="6"/>
        <item x="17"/>
        <item x="9"/>
        <item x="11"/>
        <item x="15"/>
        <item x="7"/>
        <item x="0"/>
        <item x="16"/>
        <item x="1"/>
        <item x="12"/>
        <item x="5"/>
        <item x="14"/>
        <item x="10"/>
        <item x="18"/>
        <item x="19"/>
        <item x="8"/>
        <item x="4"/>
        <item x="13"/>
        <item x="2"/>
        <item t="default"/>
      </items>
    </pivotField>
    <pivotField showAll="0"/>
    <pivotField showAll="0">
      <items count="8">
        <item x="6"/>
        <item x="3"/>
        <item x="0"/>
        <item x="2"/>
        <item x="1"/>
        <item x="4"/>
        <item x="5"/>
        <item t="default"/>
      </items>
    </pivotField>
    <pivotField dataField="1" showAll="0"/>
    <pivotField showAll="0"/>
    <pivotField showAll="0"/>
    <pivotField showAll="0">
      <items count="3">
        <item x="0"/>
        <item x="1"/>
        <item t="default"/>
      </items>
    </pivotField>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hipments_count" fld="4" baseField="0" baseItem="0" numFmtId="1"/>
  </dataFields>
  <formats count="2">
    <format dxfId="9">
      <pivotArea outline="0" collapsedLevelsAreSubtotals="1" fieldPosition="0"/>
    </format>
    <format dxfId="8">
      <pivotArea collapsedLevelsAreSubtotals="1" fieldPosition="0">
        <references count="1">
          <reference field="1" count="0"/>
        </references>
      </pivotArea>
    </format>
  </formats>
  <chartFormats count="4">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1AD29-398F-4AA1-8E85-B34A48ACFCF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D13:E16" firstHeaderRow="1" firstDataRow="1" firstDataCol="1"/>
  <pivotFields count="11">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7"/>
  </rowFields>
  <rowItems count="3">
    <i>
      <x/>
    </i>
    <i>
      <x v="1"/>
    </i>
    <i t="grand">
      <x/>
    </i>
  </rowItems>
  <colItems count="1">
    <i/>
  </colItems>
  <dataFields count="1">
    <dataField name="Count of id" fld="0" subtotal="count" baseField="7"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529A216-70EF-497D-AEE2-5EABCC7566CD}" autoFormatId="16" applyNumberFormats="0" applyBorderFormats="0" applyFontFormats="0" applyPatternFormats="0" applyAlignmentFormats="0" applyWidthHeightFormats="0">
  <queryTableRefresh nextId="9">
    <queryTableFields count="8">
      <queryTableField id="1" name="id" tableColumnId="9"/>
      <queryTableField id="2" name="first_name" tableColumnId="2"/>
      <queryTableField id="3" name="last_name" tableColumnId="3"/>
      <queryTableField id="4" name="age" tableColumnId="4"/>
      <queryTableField id="5" name="gender" tableColumnId="5"/>
      <queryTableField id="6" name="region" tableColumnId="6"/>
      <queryTableField id="7" name="country" tableColumnId="7"/>
      <queryTableField id="8" name="created_a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F79872A6-C656-4B8C-B74B-5C1700566748}" autoFormatId="16" applyNumberFormats="0" applyBorderFormats="0" applyFontFormats="0" applyPatternFormats="0" applyAlignmentFormats="0" applyWidthHeightFormats="0">
  <queryTableRefresh nextId="12">
    <queryTableFields count="11">
      <queryTableField id="1" name="id" tableColumnId="12"/>
      <queryTableField id="2" name="partner_name" tableColumnId="2"/>
      <queryTableField id="3" name="country" tableColumnId="3"/>
      <queryTableField id="4" name="region" tableColumnId="4"/>
      <queryTableField id="5" name="shipments_count" tableColumnId="5"/>
      <queryTableField id="6" name="average_delivery_days" tableColumnId="6"/>
      <queryTableField id="7" name="cost_per_shipment" tableColumnId="7"/>
      <queryTableField id="8" name="status" tableColumnId="8"/>
      <queryTableField id="9" name="rating" tableColumnId="9"/>
      <queryTableField id="10" name="contract_start" tableColumnId="10"/>
      <queryTableField id="11" name="created_a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13CFAF-BC88-46F5-A47B-461378D635FE}" sourceName="region">
  <pivotTables>
    <pivotTable tabId="7" name="PivotTable1"/>
  </pivotTables>
  <data>
    <tabular pivotCacheId="844927126">
      <items count="7">
        <i x="3"/>
        <i x="4" s="1"/>
        <i x="0"/>
        <i x="5"/>
        <i x="1"/>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EBBF1C-3823-4377-87BB-0433D5AD1CFF}" sourceName="gender">
  <pivotTables>
    <pivotTable tabId="7" name="PivotTable3"/>
  </pivotTables>
  <data>
    <tabular pivotCacheId="841158244">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0907C7A-FA37-4131-99F1-E0D6902BCF3E}" sourceName="region">
  <pivotTables>
    <pivotTable tabId="11" name="PivotTable1"/>
    <pivotTable tabId="11" name="PivotTable4"/>
  </pivotTables>
  <data>
    <tabular pivotCacheId="376565178">
      <items count="7">
        <i x="6" s="1"/>
        <i x="3" s="1"/>
        <i x="0" s="1"/>
        <i x="2"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1201574-5025-4C99-9B6E-F2515A00A597}" sourceName="status">
  <pivotTables>
    <pivotTable tabId="11" name="PivotTable1"/>
    <pivotTable tabId="11" name="PivotTable4"/>
  </pivotTables>
  <data>
    <tabular pivotCacheId="3765651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77A90B9-F569-47BC-8D54-0D82463ABDD1}" cache="Slicer_region" showCaption="0" style="Slicer Style 1" rowHeight="324000"/>
  <slicer name="gender 1" xr10:uid="{F8DABCE3-9D43-4C5A-8501-020F772CCCCC}" cache="Slicer_gender" caption="gender" columnCount="3"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FBD647B-F756-48C7-AA78-17CDBEE0902F}" cache="Slicer_region1" caption="region" columnCount="7" style="Slicer Style 1" rowHeight="241300"/>
  <slicer name="status 1" xr10:uid="{D0045C3A-18AC-4880-ADB7-D50B7A0B0C24}" cache="Slicer_status" caption="status"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801541-83B7-4512-BDBC-B2D5898E9FDA}" name="customers" displayName="customers" ref="A1:H1401" tableType="queryTable" totalsRowShown="0">
  <autoFilter ref="A1:H1401" xr:uid="{70801541-83B7-4512-BDBC-B2D5898E9FDA}"/>
  <tableColumns count="8">
    <tableColumn id="9" xr3:uid="{EA4E5732-9BA0-4152-BC1F-75C658A2A141}" uniqueName="9" name="id" queryTableFieldId="1"/>
    <tableColumn id="2" xr3:uid="{6D4A8967-15A1-4178-BC62-AD130A7BEAE8}" uniqueName="2" name="first_name" queryTableFieldId="2"/>
    <tableColumn id="3" xr3:uid="{3B317E86-4F57-4DB1-AE20-108F4DCF9918}" uniqueName="3" name="last_name" queryTableFieldId="3"/>
    <tableColumn id="4" xr3:uid="{5F09B22B-776C-4CB4-837B-1357F7BF5698}" uniqueName="4" name="age" queryTableFieldId="4"/>
    <tableColumn id="5" xr3:uid="{94E6C30E-8B3A-4DB5-9705-B0181A3ECBFF}" uniqueName="5" name="gender" queryTableFieldId="5"/>
    <tableColumn id="6" xr3:uid="{F3F020DC-E83A-4C00-B270-E311A93BF0FF}" uniqueName="6" name="region" queryTableFieldId="6"/>
    <tableColumn id="7" xr3:uid="{D2DDA57A-4D6F-450A-929A-965F040A04B0}" uniqueName="7" name="country" queryTableFieldId="7"/>
    <tableColumn id="8" xr3:uid="{41AA5D22-E0C3-48B3-B7AC-973F0687670C}" uniqueName="8" name="created_at" queryTableFieldId="8"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803CFB-FBE6-4295-8FEE-A1EC0D8E3CDA}" name="partners" displayName="partners" ref="A1:K281" tableType="queryTable" totalsRowShown="0">
  <autoFilter ref="A1:K281" xr:uid="{94803CFB-FBE6-4295-8FEE-A1EC0D8E3CDA}"/>
  <tableColumns count="11">
    <tableColumn id="12" xr3:uid="{C78D0530-C273-4080-9E26-D3A8393F4B66}" uniqueName="12" name="id" queryTableFieldId="1"/>
    <tableColumn id="2" xr3:uid="{46317608-30C1-4D42-A8C3-CF3AE0F16681}" uniqueName="2" name="partner_name" queryTableFieldId="2" dataDxfId="15"/>
    <tableColumn id="3" xr3:uid="{ED241569-C69A-4BA9-B67C-41EDE63A0482}" uniqueName="3" name="country" queryTableFieldId="3" dataDxfId="14"/>
    <tableColumn id="4" xr3:uid="{158AEA2E-3345-4202-A122-7A7FE3477D32}" uniqueName="4" name="region" queryTableFieldId="4" dataDxfId="13"/>
    <tableColumn id="5" xr3:uid="{E19FE6F0-F363-4FB8-8E3E-F8497A6BCD4A}" uniqueName="5" name="shipments_count" queryTableFieldId="5"/>
    <tableColumn id="6" xr3:uid="{69B8791E-C3FB-4A34-8119-F880A07F5512}" uniqueName="6" name="average_delivery_days" queryTableFieldId="6"/>
    <tableColumn id="7" xr3:uid="{081B1EFB-0E58-42C5-AE76-01047D74E777}" uniqueName="7" name="cost_per_shipment" queryTableFieldId="7"/>
    <tableColumn id="8" xr3:uid="{6BEC2814-AA8C-4196-A9DE-64430702E92B}" uniqueName="8" name="status" queryTableFieldId="8" dataDxfId="12"/>
    <tableColumn id="9" xr3:uid="{11587986-4C97-4902-8A71-CF6665716E51}" uniqueName="9" name="rating" queryTableFieldId="9"/>
    <tableColumn id="10" xr3:uid="{0E2EEC99-AA60-4540-AE14-80294B80075E}" uniqueName="10" name="contract_start" queryTableFieldId="10" dataDxfId="11"/>
    <tableColumn id="11" xr3:uid="{986EC49B-16FA-4A07-ACC9-4D90D062F009}" uniqueName="11" name="created_at" queryTableFieldId="11"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D6A2F2-CAB4-43B1-AD98-15D140B9D67F}">
  <we:reference id="wa200005107" version="1.1.0.0" store="en-US" storeType="OMEX"/>
  <we:alternateReferences>
    <we:reference id="WA200005107" version="1.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DE9E-A349-4C54-98AD-9464259EEE80}">
  <sheetPr codeName="Sheet2">
    <tabColor theme="1" tint="0.249977111117893"/>
  </sheetPr>
  <dimension ref="A1:Q1401"/>
  <sheetViews>
    <sheetView zoomScale="76" zoomScaleNormal="70" workbookViewId="0">
      <selection sqref="A1:H1319"/>
    </sheetView>
  </sheetViews>
  <sheetFormatPr defaultRowHeight="15" x14ac:dyDescent="0.25"/>
  <cols>
    <col min="1" max="1" width="6" bestFit="1" customWidth="1"/>
    <col min="2" max="2" width="13.42578125" bestFit="1" customWidth="1"/>
    <col min="3" max="3" width="13.140625" bestFit="1" customWidth="1"/>
    <col min="4" max="4" width="7.28515625" bestFit="1" customWidth="1"/>
    <col min="5" max="5" width="10.42578125" bestFit="1" customWidth="1"/>
    <col min="6" max="6" width="14" bestFit="1" customWidth="1"/>
    <col min="7" max="7" width="15.5703125" bestFit="1" customWidth="1"/>
    <col min="8" max="8" width="13.7109375" style="10" bestFit="1" customWidth="1"/>
    <col min="10" max="10" width="17.85546875" customWidth="1"/>
    <col min="11" max="11" width="23" bestFit="1" customWidth="1"/>
    <col min="13" max="13" width="12" bestFit="1" customWidth="1"/>
    <col min="16" max="16" width="15.5703125" bestFit="1" customWidth="1"/>
  </cols>
  <sheetData>
    <row r="1" spans="1:17" x14ac:dyDescent="0.25">
      <c r="A1" t="s">
        <v>0</v>
      </c>
      <c r="B1" t="s">
        <v>1</v>
      </c>
      <c r="C1" t="s">
        <v>2</v>
      </c>
      <c r="D1" t="s">
        <v>3</v>
      </c>
      <c r="E1" t="s">
        <v>4</v>
      </c>
      <c r="F1" t="s">
        <v>5</v>
      </c>
      <c r="G1" t="s">
        <v>6</v>
      </c>
      <c r="H1" s="10" t="s">
        <v>7</v>
      </c>
      <c r="J1" s="15"/>
      <c r="K1" s="16"/>
      <c r="L1" s="16"/>
      <c r="M1" s="16"/>
      <c r="N1" s="17"/>
      <c r="P1" s="35" t="s">
        <v>6</v>
      </c>
      <c r="Q1" s="36"/>
    </row>
    <row r="2" spans="1:17" x14ac:dyDescent="0.25">
      <c r="A2">
        <v>1</v>
      </c>
      <c r="B2" t="s">
        <v>8</v>
      </c>
      <c r="C2" t="s">
        <v>9</v>
      </c>
      <c r="D2">
        <v>35</v>
      </c>
      <c r="E2" t="s">
        <v>10</v>
      </c>
      <c r="F2" t="s">
        <v>11</v>
      </c>
      <c r="G2" t="s">
        <v>12</v>
      </c>
      <c r="H2" s="10">
        <v>46091.919479166667</v>
      </c>
      <c r="J2" s="18"/>
      <c r="K2" s="13" t="s">
        <v>342</v>
      </c>
      <c r="L2" s="14">
        <f>COUNT(customers[id])</f>
        <v>1400</v>
      </c>
      <c r="N2" s="6"/>
      <c r="P2" s="18" t="s">
        <v>12</v>
      </c>
      <c r="Q2" s="6">
        <f>COUNTIF(customers[country], P2)</f>
        <v>94</v>
      </c>
    </row>
    <row r="3" spans="1:17" x14ac:dyDescent="0.25">
      <c r="A3">
        <v>2</v>
      </c>
      <c r="B3" t="s">
        <v>13</v>
      </c>
      <c r="C3" t="s">
        <v>14</v>
      </c>
      <c r="D3">
        <v>49</v>
      </c>
      <c r="E3" t="s">
        <v>10</v>
      </c>
      <c r="F3" t="s">
        <v>15</v>
      </c>
      <c r="G3" t="s">
        <v>16</v>
      </c>
      <c r="H3" s="10">
        <v>46091.919664351852</v>
      </c>
      <c r="J3" s="18"/>
      <c r="N3" s="6"/>
      <c r="P3" s="18" t="s">
        <v>16</v>
      </c>
      <c r="Q3" s="6">
        <f>COUNTIF(customers[country], P3)</f>
        <v>83</v>
      </c>
    </row>
    <row r="4" spans="1:17" x14ac:dyDescent="0.25">
      <c r="A4">
        <v>3</v>
      </c>
      <c r="B4" t="s">
        <v>17</v>
      </c>
      <c r="C4" t="s">
        <v>18</v>
      </c>
      <c r="D4">
        <v>39</v>
      </c>
      <c r="E4" t="s">
        <v>19</v>
      </c>
      <c r="F4" t="s">
        <v>20</v>
      </c>
      <c r="G4" t="s">
        <v>16</v>
      </c>
      <c r="H4" s="10">
        <v>46091.920219907406</v>
      </c>
      <c r="J4" s="18"/>
      <c r="K4" s="8" t="s">
        <v>381</v>
      </c>
      <c r="L4" s="8">
        <f>COUNTIF(customers[gender], "Male")</f>
        <v>431</v>
      </c>
      <c r="M4" s="8" t="s">
        <v>385</v>
      </c>
      <c r="N4" s="9">
        <f>L4/COUNT(customers[id])</f>
        <v>0.30785714285714288</v>
      </c>
      <c r="P4" s="18" t="s">
        <v>23</v>
      </c>
      <c r="Q4" s="6">
        <f>COUNTIF(customers[country], P4)</f>
        <v>80</v>
      </c>
    </row>
    <row r="5" spans="1:17" x14ac:dyDescent="0.25">
      <c r="A5">
        <v>4</v>
      </c>
      <c r="B5" t="s">
        <v>21</v>
      </c>
      <c r="C5" t="s">
        <v>22</v>
      </c>
      <c r="D5">
        <v>27</v>
      </c>
      <c r="E5" t="s">
        <v>19</v>
      </c>
      <c r="F5" t="s">
        <v>11</v>
      </c>
      <c r="G5" t="s">
        <v>23</v>
      </c>
      <c r="H5" s="10">
        <v>46091.920486111114</v>
      </c>
      <c r="J5" s="18"/>
      <c r="K5" s="8" t="s">
        <v>387</v>
      </c>
      <c r="L5" s="8">
        <f>COUNTIF(customers[gender], "Female")</f>
        <v>496</v>
      </c>
      <c r="M5" s="8" t="s">
        <v>385</v>
      </c>
      <c r="N5" s="9">
        <f>L5/COUNT(customers[id])</f>
        <v>0.35428571428571426</v>
      </c>
      <c r="P5" s="18" t="s">
        <v>30</v>
      </c>
      <c r="Q5" s="6">
        <f>COUNTIF(customers[country], P5)</f>
        <v>70</v>
      </c>
    </row>
    <row r="6" spans="1:17" x14ac:dyDescent="0.25">
      <c r="A6">
        <v>5</v>
      </c>
      <c r="B6" t="s">
        <v>24</v>
      </c>
      <c r="C6" t="s">
        <v>25</v>
      </c>
      <c r="D6">
        <v>18</v>
      </c>
      <c r="E6" t="s">
        <v>26</v>
      </c>
      <c r="F6" t="s">
        <v>11</v>
      </c>
      <c r="G6" t="s">
        <v>23</v>
      </c>
      <c r="H6" s="10">
        <v>46091.920682870368</v>
      </c>
      <c r="J6" s="18"/>
      <c r="K6" s="8" t="s">
        <v>392</v>
      </c>
      <c r="L6" s="8">
        <f>COUNTIF(customers[gender],  "Other")</f>
        <v>473</v>
      </c>
      <c r="M6" s="8" t="s">
        <v>385</v>
      </c>
      <c r="N6" s="9">
        <f>L6/COUNT(customers[id])</f>
        <v>0.33785714285714286</v>
      </c>
      <c r="P6" s="18" t="s">
        <v>36</v>
      </c>
      <c r="Q6" s="6">
        <f>COUNTIF(customers[country], P6)</f>
        <v>54</v>
      </c>
    </row>
    <row r="7" spans="1:17" x14ac:dyDescent="0.25">
      <c r="A7">
        <v>6</v>
      </c>
      <c r="B7" t="s">
        <v>27</v>
      </c>
      <c r="C7" t="s">
        <v>28</v>
      </c>
      <c r="D7">
        <v>39</v>
      </c>
      <c r="E7" t="s">
        <v>19</v>
      </c>
      <c r="F7" t="s">
        <v>29</v>
      </c>
      <c r="G7" t="s">
        <v>30</v>
      </c>
      <c r="H7" s="10">
        <v>46091.92114583333</v>
      </c>
      <c r="J7" s="18"/>
      <c r="N7" s="6"/>
      <c r="P7" s="18" t="s">
        <v>39</v>
      </c>
      <c r="Q7" s="6">
        <f>COUNTIF(customers[country], P7)</f>
        <v>61</v>
      </c>
    </row>
    <row r="8" spans="1:17" x14ac:dyDescent="0.25">
      <c r="A8">
        <v>7</v>
      </c>
      <c r="B8" t="s">
        <v>31</v>
      </c>
      <c r="C8" t="s">
        <v>32</v>
      </c>
      <c r="D8">
        <v>32</v>
      </c>
      <c r="E8" t="s">
        <v>19</v>
      </c>
      <c r="F8" t="s">
        <v>33</v>
      </c>
      <c r="G8" t="s">
        <v>16</v>
      </c>
      <c r="H8" s="10">
        <v>46091.921458333331</v>
      </c>
      <c r="J8" s="18"/>
      <c r="K8" s="12">
        <f ca="1">TODAY()</f>
        <v>46208</v>
      </c>
      <c r="N8" s="6"/>
      <c r="P8" s="18" t="s">
        <v>42</v>
      </c>
      <c r="Q8" s="6">
        <f>COUNTIF(customers[country], P8)</f>
        <v>67</v>
      </c>
    </row>
    <row r="9" spans="1:17" x14ac:dyDescent="0.25">
      <c r="A9">
        <v>8</v>
      </c>
      <c r="B9" t="s">
        <v>34</v>
      </c>
      <c r="C9" t="s">
        <v>35</v>
      </c>
      <c r="D9">
        <v>29</v>
      </c>
      <c r="E9" t="s">
        <v>26</v>
      </c>
      <c r="F9" t="s">
        <v>20</v>
      </c>
      <c r="G9" t="s">
        <v>36</v>
      </c>
      <c r="H9" s="10">
        <v>46091.921863425923</v>
      </c>
      <c r="J9" s="18"/>
      <c r="N9" s="6"/>
      <c r="P9" s="18" t="s">
        <v>46</v>
      </c>
      <c r="Q9" s="6">
        <f>COUNTIF(customers[country], P9)</f>
        <v>63</v>
      </c>
    </row>
    <row r="10" spans="1:17" x14ac:dyDescent="0.25">
      <c r="A10">
        <v>9</v>
      </c>
      <c r="B10" t="s">
        <v>37</v>
      </c>
      <c r="C10" t="s">
        <v>38</v>
      </c>
      <c r="D10">
        <v>44</v>
      </c>
      <c r="E10" t="s">
        <v>10</v>
      </c>
      <c r="F10" t="s">
        <v>20</v>
      </c>
      <c r="G10" t="s">
        <v>39</v>
      </c>
      <c r="H10" s="10">
        <v>46091.922500000001</v>
      </c>
      <c r="J10" s="8" t="s">
        <v>537</v>
      </c>
      <c r="K10" s="21">
        <f>_xlfn.MODE.SNGL(customers[age])</f>
        <v>64</v>
      </c>
      <c r="L10" s="17"/>
      <c r="N10" s="6"/>
      <c r="P10" s="18" t="s">
        <v>51</v>
      </c>
      <c r="Q10" s="6">
        <f>COUNTIF(customers[country], P10)</f>
        <v>71</v>
      </c>
    </row>
    <row r="11" spans="1:17" x14ac:dyDescent="0.25">
      <c r="A11">
        <v>10</v>
      </c>
      <c r="B11" t="s">
        <v>40</v>
      </c>
      <c r="C11" t="s">
        <v>41</v>
      </c>
      <c r="D11">
        <v>29</v>
      </c>
      <c r="E11" t="s">
        <v>26</v>
      </c>
      <c r="F11" t="s">
        <v>15</v>
      </c>
      <c r="G11" t="s">
        <v>42</v>
      </c>
      <c r="H11" s="10">
        <v>46091.923113425924</v>
      </c>
      <c r="J11" s="20" t="s">
        <v>11</v>
      </c>
      <c r="K11">
        <f>COUNTIF(customers[region], J11)</f>
        <v>194</v>
      </c>
      <c r="L11" s="22">
        <f>K11/SUM($K$11:$K$17)</f>
        <v>0.13857142857142857</v>
      </c>
      <c r="N11" s="6"/>
      <c r="P11" s="18" t="s">
        <v>54</v>
      </c>
      <c r="Q11" s="6">
        <f>COUNTIF(customers[country], P11)</f>
        <v>81</v>
      </c>
    </row>
    <row r="12" spans="1:17" x14ac:dyDescent="0.25">
      <c r="A12">
        <v>11</v>
      </c>
      <c r="B12" t="s">
        <v>43</v>
      </c>
      <c r="C12" t="s">
        <v>44</v>
      </c>
      <c r="D12">
        <v>39</v>
      </c>
      <c r="E12" t="s">
        <v>26</v>
      </c>
      <c r="F12" t="s">
        <v>45</v>
      </c>
      <c r="G12" t="s">
        <v>46</v>
      </c>
      <c r="H12" s="10">
        <v>46091.923715277779</v>
      </c>
      <c r="J12" s="20" t="s">
        <v>15</v>
      </c>
      <c r="K12">
        <f>COUNTIF(customers[region], J12)</f>
        <v>200</v>
      </c>
      <c r="L12" s="22">
        <f t="shared" ref="L12:L16" si="0">K12/SUM($K$11:$K$17)</f>
        <v>0.14285714285714285</v>
      </c>
      <c r="N12" s="6"/>
      <c r="P12" s="18" t="s">
        <v>57</v>
      </c>
      <c r="Q12" s="6">
        <f>COUNTIF(customers[country], P12)</f>
        <v>78</v>
      </c>
    </row>
    <row r="13" spans="1:17" x14ac:dyDescent="0.25">
      <c r="A13">
        <v>12</v>
      </c>
      <c r="B13" t="s">
        <v>47</v>
      </c>
      <c r="C13" t="s">
        <v>48</v>
      </c>
      <c r="D13">
        <v>69</v>
      </c>
      <c r="E13" t="s">
        <v>26</v>
      </c>
      <c r="F13" t="s">
        <v>15</v>
      </c>
      <c r="G13" t="s">
        <v>46</v>
      </c>
      <c r="H13" s="10">
        <v>46091.924178240741</v>
      </c>
      <c r="J13" s="20" t="s">
        <v>29</v>
      </c>
      <c r="K13">
        <f>COUNTIF(customers[region], J13)</f>
        <v>216</v>
      </c>
      <c r="L13" s="22">
        <f t="shared" si="0"/>
        <v>0.15428571428571428</v>
      </c>
      <c r="N13" s="6"/>
      <c r="P13" s="18" t="s">
        <v>65</v>
      </c>
      <c r="Q13" s="6">
        <f>COUNTIF(customers[country], P13)</f>
        <v>59</v>
      </c>
    </row>
    <row r="14" spans="1:17" x14ac:dyDescent="0.25">
      <c r="A14">
        <v>13</v>
      </c>
      <c r="B14" t="s">
        <v>49</v>
      </c>
      <c r="C14" t="s">
        <v>50</v>
      </c>
      <c r="D14">
        <v>57</v>
      </c>
      <c r="E14" t="s">
        <v>26</v>
      </c>
      <c r="F14" t="s">
        <v>11</v>
      </c>
      <c r="G14" t="s">
        <v>51</v>
      </c>
      <c r="H14" s="10">
        <v>46091.924768518518</v>
      </c>
      <c r="J14" s="20" t="s">
        <v>20</v>
      </c>
      <c r="K14">
        <f>COUNTIF(customers[region], J14)</f>
        <v>199</v>
      </c>
      <c r="L14" s="22">
        <f t="shared" si="0"/>
        <v>0.14214285714285715</v>
      </c>
      <c r="N14" s="6"/>
      <c r="P14" s="18" t="s">
        <v>68</v>
      </c>
      <c r="Q14" s="6">
        <f>COUNTIF(customers[country], P14)</f>
        <v>57</v>
      </c>
    </row>
    <row r="15" spans="1:17" x14ac:dyDescent="0.25">
      <c r="A15">
        <v>14</v>
      </c>
      <c r="B15" t="s">
        <v>52</v>
      </c>
      <c r="C15" t="s">
        <v>53</v>
      </c>
      <c r="D15">
        <v>31</v>
      </c>
      <c r="E15" t="s">
        <v>10</v>
      </c>
      <c r="F15" t="s">
        <v>33</v>
      </c>
      <c r="G15" t="s">
        <v>54</v>
      </c>
      <c r="H15" s="10">
        <v>46091.924907407411</v>
      </c>
      <c r="J15" s="20" t="s">
        <v>33</v>
      </c>
      <c r="K15">
        <f>COUNTIF(customers[region], J15)</f>
        <v>195</v>
      </c>
      <c r="L15" s="22">
        <f>K15/SUM($K$11:$K$17)</f>
        <v>0.13928571428571429</v>
      </c>
      <c r="N15" s="6"/>
      <c r="O15" s="11"/>
      <c r="P15" s="18" t="s">
        <v>70</v>
      </c>
      <c r="Q15" s="6">
        <f>COUNTIF(customers[country], P15)</f>
        <v>71</v>
      </c>
    </row>
    <row r="16" spans="1:17" x14ac:dyDescent="0.25">
      <c r="A16">
        <v>15</v>
      </c>
      <c r="B16" t="s">
        <v>55</v>
      </c>
      <c r="C16" t="s">
        <v>56</v>
      </c>
      <c r="D16">
        <v>60</v>
      </c>
      <c r="E16" t="s">
        <v>10</v>
      </c>
      <c r="F16" t="s">
        <v>33</v>
      </c>
      <c r="G16" t="s">
        <v>57</v>
      </c>
      <c r="H16" s="10">
        <v>46091.925451388888</v>
      </c>
      <c r="J16" s="20" t="s">
        <v>45</v>
      </c>
      <c r="K16">
        <f>COUNTIF(customers[region], J16)</f>
        <v>202</v>
      </c>
      <c r="L16" s="22">
        <f t="shared" si="0"/>
        <v>0.14428571428571429</v>
      </c>
      <c r="N16" s="6"/>
      <c r="P16" s="18" t="s">
        <v>76</v>
      </c>
      <c r="Q16" s="6">
        <f>COUNTIF(customers[country], P16)</f>
        <v>76</v>
      </c>
    </row>
    <row r="17" spans="1:17" x14ac:dyDescent="0.25">
      <c r="A17">
        <v>16</v>
      </c>
      <c r="B17" t="s">
        <v>58</v>
      </c>
      <c r="C17" t="s">
        <v>59</v>
      </c>
      <c r="D17">
        <v>61</v>
      </c>
      <c r="E17" t="s">
        <v>10</v>
      </c>
      <c r="F17" t="s">
        <v>11</v>
      </c>
      <c r="G17" t="s">
        <v>46</v>
      </c>
      <c r="H17" s="10">
        <v>46091.926122685189</v>
      </c>
      <c r="J17" s="20" t="s">
        <v>73</v>
      </c>
      <c r="K17" s="7">
        <f>COUNTIF(customers[region], J17)</f>
        <v>194</v>
      </c>
      <c r="L17" s="22">
        <f>K17/SUM($K$11:$K$17)</f>
        <v>0.13857142857142857</v>
      </c>
      <c r="N17" s="6"/>
      <c r="P17" s="18" t="s">
        <v>80</v>
      </c>
      <c r="Q17" s="6">
        <f>COUNTIF(customers[country], P17)</f>
        <v>66</v>
      </c>
    </row>
    <row r="18" spans="1:17" x14ac:dyDescent="0.25">
      <c r="A18">
        <v>17</v>
      </c>
      <c r="B18" t="s">
        <v>52</v>
      </c>
      <c r="C18" t="s">
        <v>60</v>
      </c>
      <c r="D18">
        <v>61</v>
      </c>
      <c r="E18" t="s">
        <v>10</v>
      </c>
      <c r="F18" t="s">
        <v>29</v>
      </c>
      <c r="G18" t="s">
        <v>12</v>
      </c>
      <c r="H18" s="10">
        <v>46091.926458333335</v>
      </c>
      <c r="J18" s="7"/>
      <c r="K18" s="4">
        <f>SUM(K11:K17)</f>
        <v>1400</v>
      </c>
      <c r="L18" s="5"/>
      <c r="N18" s="6"/>
      <c r="P18" s="18" t="s">
        <v>99</v>
      </c>
      <c r="Q18" s="6">
        <f>COUNTIF(customers[country], P18)</f>
        <v>72</v>
      </c>
    </row>
    <row r="19" spans="1:17" x14ac:dyDescent="0.25">
      <c r="A19">
        <v>18</v>
      </c>
      <c r="B19" t="s">
        <v>61</v>
      </c>
      <c r="C19" t="s">
        <v>62</v>
      </c>
      <c r="D19">
        <v>46</v>
      </c>
      <c r="E19" t="s">
        <v>19</v>
      </c>
      <c r="F19" t="s">
        <v>15</v>
      </c>
      <c r="G19" t="s">
        <v>42</v>
      </c>
      <c r="H19" s="10">
        <v>46091.926585648151</v>
      </c>
      <c r="J19" s="18"/>
      <c r="N19" s="6"/>
      <c r="P19" s="18" t="s">
        <v>114</v>
      </c>
      <c r="Q19" s="6">
        <f>COUNTIF(customers[country], P19)</f>
        <v>62</v>
      </c>
    </row>
    <row r="20" spans="1:17" x14ac:dyDescent="0.25">
      <c r="A20">
        <v>19</v>
      </c>
      <c r="B20" t="s">
        <v>63</v>
      </c>
      <c r="C20" t="s">
        <v>64</v>
      </c>
      <c r="D20">
        <v>37</v>
      </c>
      <c r="E20" t="s">
        <v>10</v>
      </c>
      <c r="F20" t="s">
        <v>29</v>
      </c>
      <c r="G20" t="s">
        <v>65</v>
      </c>
      <c r="H20" s="10">
        <v>46091.927106481482</v>
      </c>
      <c r="J20" s="18"/>
      <c r="N20" s="6"/>
      <c r="P20" s="18" t="s">
        <v>130</v>
      </c>
      <c r="Q20" s="6">
        <f>COUNTIF(customers[country], P20)</f>
        <v>66</v>
      </c>
    </row>
    <row r="21" spans="1:17" x14ac:dyDescent="0.25">
      <c r="A21">
        <v>20</v>
      </c>
      <c r="B21" t="s">
        <v>66</v>
      </c>
      <c r="C21" t="s">
        <v>67</v>
      </c>
      <c r="D21">
        <v>26</v>
      </c>
      <c r="E21" t="s">
        <v>19</v>
      </c>
      <c r="F21" t="s">
        <v>11</v>
      </c>
      <c r="G21" t="s">
        <v>68</v>
      </c>
      <c r="H21" s="10">
        <v>46091.927256944444</v>
      </c>
      <c r="J21" s="23" t="s">
        <v>11</v>
      </c>
      <c r="K21" s="24">
        <f>L11</f>
        <v>0.13857142857142857</v>
      </c>
      <c r="N21" s="6"/>
      <c r="P21" s="7" t="s">
        <v>133</v>
      </c>
      <c r="Q21" s="5">
        <f>COUNTIF(customers[country], P21)</f>
        <v>69</v>
      </c>
    </row>
    <row r="22" spans="1:17" x14ac:dyDescent="0.25">
      <c r="A22">
        <v>21</v>
      </c>
      <c r="B22" t="s">
        <v>69</v>
      </c>
      <c r="C22" t="s">
        <v>22</v>
      </c>
      <c r="D22">
        <v>46</v>
      </c>
      <c r="E22" t="s">
        <v>19</v>
      </c>
      <c r="F22" t="s">
        <v>11</v>
      </c>
      <c r="G22" t="s">
        <v>70</v>
      </c>
      <c r="H22" s="10">
        <v>46091.927476851852</v>
      </c>
      <c r="J22" s="20" t="s">
        <v>15</v>
      </c>
      <c r="K22" s="22">
        <f t="shared" ref="K22:K27" si="1">L12</f>
        <v>0.14285714285714285</v>
      </c>
      <c r="N22" s="6"/>
    </row>
    <row r="23" spans="1:17" x14ac:dyDescent="0.25">
      <c r="A23">
        <v>22</v>
      </c>
      <c r="B23" t="s">
        <v>71</v>
      </c>
      <c r="C23" t="s">
        <v>72</v>
      </c>
      <c r="D23">
        <v>57</v>
      </c>
      <c r="E23" t="s">
        <v>19</v>
      </c>
      <c r="F23" t="s">
        <v>73</v>
      </c>
      <c r="G23" t="s">
        <v>16</v>
      </c>
      <c r="H23" s="10">
        <v>46091.928078703706</v>
      </c>
      <c r="J23" s="20" t="s">
        <v>29</v>
      </c>
      <c r="K23" s="22">
        <f t="shared" si="1"/>
        <v>0.15428571428571428</v>
      </c>
      <c r="N23" s="6"/>
    </row>
    <row r="24" spans="1:17" x14ac:dyDescent="0.25">
      <c r="A24">
        <v>23</v>
      </c>
      <c r="B24" t="s">
        <v>74</v>
      </c>
      <c r="C24" t="s">
        <v>75</v>
      </c>
      <c r="D24">
        <v>62</v>
      </c>
      <c r="E24" t="s">
        <v>19</v>
      </c>
      <c r="F24" t="s">
        <v>11</v>
      </c>
      <c r="G24" t="s">
        <v>76</v>
      </c>
      <c r="H24" s="10">
        <v>46091.928298611114</v>
      </c>
      <c r="J24" s="20" t="s">
        <v>20</v>
      </c>
      <c r="K24" s="22">
        <f t="shared" si="1"/>
        <v>0.14214285714285715</v>
      </c>
      <c r="N24" s="6"/>
    </row>
    <row r="25" spans="1:17" x14ac:dyDescent="0.25">
      <c r="A25">
        <v>24</v>
      </c>
      <c r="B25" t="s">
        <v>58</v>
      </c>
      <c r="C25" t="s">
        <v>77</v>
      </c>
      <c r="D25">
        <v>47</v>
      </c>
      <c r="E25" t="s">
        <v>26</v>
      </c>
      <c r="F25" t="s">
        <v>33</v>
      </c>
      <c r="G25" t="s">
        <v>39</v>
      </c>
      <c r="H25" s="10">
        <v>46091.92863425926</v>
      </c>
      <c r="J25" s="20" t="s">
        <v>33</v>
      </c>
      <c r="K25" s="22">
        <f t="shared" si="1"/>
        <v>0.13928571428571429</v>
      </c>
      <c r="N25" s="6"/>
    </row>
    <row r="26" spans="1:17" x14ac:dyDescent="0.25">
      <c r="A26">
        <v>25</v>
      </c>
      <c r="B26" t="s">
        <v>78</v>
      </c>
      <c r="C26" t="s">
        <v>79</v>
      </c>
      <c r="D26">
        <v>46</v>
      </c>
      <c r="E26" t="s">
        <v>19</v>
      </c>
      <c r="F26" t="s">
        <v>45</v>
      </c>
      <c r="G26" t="s">
        <v>80</v>
      </c>
      <c r="H26" s="10">
        <v>46091.929224537038</v>
      </c>
      <c r="J26" s="20" t="s">
        <v>45</v>
      </c>
      <c r="K26" s="22">
        <f t="shared" si="1"/>
        <v>0.14428571428571429</v>
      </c>
      <c r="N26" s="6"/>
    </row>
    <row r="27" spans="1:17" x14ac:dyDescent="0.25">
      <c r="A27">
        <v>26</v>
      </c>
      <c r="B27" t="s">
        <v>81</v>
      </c>
      <c r="C27" t="s">
        <v>82</v>
      </c>
      <c r="D27">
        <v>46</v>
      </c>
      <c r="E27" t="s">
        <v>26</v>
      </c>
      <c r="F27" t="s">
        <v>11</v>
      </c>
      <c r="G27" t="s">
        <v>80</v>
      </c>
      <c r="H27" s="10">
        <v>46091.929583333331</v>
      </c>
      <c r="J27" s="19" t="s">
        <v>73</v>
      </c>
      <c r="K27" s="25">
        <f t="shared" si="1"/>
        <v>0.13857142857142857</v>
      </c>
      <c r="L27" s="4"/>
      <c r="M27" s="4"/>
      <c r="N27" s="5"/>
    </row>
    <row r="28" spans="1:17" x14ac:dyDescent="0.25">
      <c r="A28">
        <v>27</v>
      </c>
      <c r="B28" t="s">
        <v>83</v>
      </c>
      <c r="C28" t="s">
        <v>38</v>
      </c>
      <c r="D28">
        <v>67</v>
      </c>
      <c r="E28" t="s">
        <v>26</v>
      </c>
      <c r="F28" t="s">
        <v>45</v>
      </c>
      <c r="G28" t="s">
        <v>12</v>
      </c>
      <c r="H28" s="10">
        <v>46091.929699074077</v>
      </c>
      <c r="K28" s="15"/>
      <c r="L28" s="17"/>
    </row>
    <row r="29" spans="1:17" x14ac:dyDescent="0.25">
      <c r="A29">
        <v>28</v>
      </c>
      <c r="B29" t="s">
        <v>84</v>
      </c>
      <c r="C29" t="s">
        <v>85</v>
      </c>
      <c r="D29">
        <v>35</v>
      </c>
      <c r="E29" t="s">
        <v>10</v>
      </c>
      <c r="F29" t="s">
        <v>29</v>
      </c>
      <c r="G29" t="s">
        <v>42</v>
      </c>
      <c r="H29" s="10">
        <v>46091.930266203701</v>
      </c>
      <c r="K29" s="18"/>
      <c r="L29" s="6"/>
    </row>
    <row r="30" spans="1:17" x14ac:dyDescent="0.25">
      <c r="A30">
        <v>29</v>
      </c>
      <c r="B30" t="s">
        <v>86</v>
      </c>
      <c r="C30" t="s">
        <v>87</v>
      </c>
      <c r="D30">
        <v>34</v>
      </c>
      <c r="E30" t="s">
        <v>10</v>
      </c>
      <c r="F30" t="s">
        <v>20</v>
      </c>
      <c r="G30" t="s">
        <v>23</v>
      </c>
      <c r="H30" s="10">
        <v>46091.930752314816</v>
      </c>
      <c r="K30" s="18"/>
      <c r="L30" s="6"/>
    </row>
    <row r="31" spans="1:17" x14ac:dyDescent="0.25">
      <c r="A31">
        <v>30</v>
      </c>
      <c r="B31" t="s">
        <v>88</v>
      </c>
      <c r="C31" t="s">
        <v>89</v>
      </c>
      <c r="D31">
        <v>41</v>
      </c>
      <c r="E31" t="s">
        <v>26</v>
      </c>
      <c r="F31" t="s">
        <v>15</v>
      </c>
      <c r="G31" t="s">
        <v>57</v>
      </c>
      <c r="H31" s="10">
        <v>46091.931354166663</v>
      </c>
      <c r="K31" s="37">
        <f ca="1">TODAY()</f>
        <v>46208</v>
      </c>
      <c r="L31" s="38">
        <f ca="1">COUNTIFS(customers[created_at], "&gt;="&amp;TODAY(), customers[created_at], "&lt;"&amp;(TODAY()+1))</f>
        <v>100</v>
      </c>
    </row>
    <row r="32" spans="1:17" x14ac:dyDescent="0.25">
      <c r="A32">
        <v>31</v>
      </c>
      <c r="B32" t="s">
        <v>90</v>
      </c>
      <c r="C32" t="s">
        <v>91</v>
      </c>
      <c r="D32">
        <v>20</v>
      </c>
      <c r="E32" t="s">
        <v>26</v>
      </c>
      <c r="F32" t="s">
        <v>11</v>
      </c>
      <c r="G32" t="s">
        <v>68</v>
      </c>
      <c r="H32" s="10">
        <v>46091.931574074071</v>
      </c>
      <c r="K32" s="10"/>
    </row>
    <row r="33" spans="1:8" x14ac:dyDescent="0.25">
      <c r="A33">
        <v>32</v>
      </c>
      <c r="B33" t="s">
        <v>92</v>
      </c>
      <c r="C33" t="s">
        <v>91</v>
      </c>
      <c r="D33">
        <v>53</v>
      </c>
      <c r="E33" t="s">
        <v>19</v>
      </c>
      <c r="F33" t="s">
        <v>45</v>
      </c>
      <c r="G33" t="s">
        <v>80</v>
      </c>
      <c r="H33" s="10">
        <v>46091.931817129633</v>
      </c>
    </row>
    <row r="34" spans="1:8" x14ac:dyDescent="0.25">
      <c r="A34">
        <v>33</v>
      </c>
      <c r="B34" t="s">
        <v>93</v>
      </c>
      <c r="C34" t="s">
        <v>94</v>
      </c>
      <c r="D34">
        <v>54</v>
      </c>
      <c r="E34" t="s">
        <v>26</v>
      </c>
      <c r="F34" t="s">
        <v>45</v>
      </c>
      <c r="G34" t="s">
        <v>70</v>
      </c>
      <c r="H34" s="10">
        <v>46091.932071759256</v>
      </c>
    </row>
    <row r="35" spans="1:8" x14ac:dyDescent="0.25">
      <c r="A35">
        <v>34</v>
      </c>
      <c r="B35" t="s">
        <v>95</v>
      </c>
      <c r="C35" t="s">
        <v>96</v>
      </c>
      <c r="D35">
        <v>20</v>
      </c>
      <c r="E35" t="s">
        <v>10</v>
      </c>
      <c r="F35" t="s">
        <v>45</v>
      </c>
      <c r="G35" t="s">
        <v>16</v>
      </c>
      <c r="H35" s="10">
        <v>46091.932534722226</v>
      </c>
    </row>
    <row r="36" spans="1:8" x14ac:dyDescent="0.25">
      <c r="A36">
        <v>35</v>
      </c>
      <c r="B36" t="s">
        <v>97</v>
      </c>
      <c r="C36" t="s">
        <v>98</v>
      </c>
      <c r="D36">
        <v>35</v>
      </c>
      <c r="E36" t="s">
        <v>26</v>
      </c>
      <c r="F36" t="s">
        <v>15</v>
      </c>
      <c r="G36" t="s">
        <v>99</v>
      </c>
      <c r="H36" s="10">
        <v>46091.933217592596</v>
      </c>
    </row>
    <row r="37" spans="1:8" x14ac:dyDescent="0.25">
      <c r="A37">
        <v>36</v>
      </c>
      <c r="B37" t="s">
        <v>100</v>
      </c>
      <c r="C37" t="s">
        <v>101</v>
      </c>
      <c r="D37">
        <v>70</v>
      </c>
      <c r="E37" t="s">
        <v>10</v>
      </c>
      <c r="F37" t="s">
        <v>33</v>
      </c>
      <c r="G37" t="s">
        <v>99</v>
      </c>
      <c r="H37" s="10">
        <v>46091.933483796296</v>
      </c>
    </row>
    <row r="38" spans="1:8" x14ac:dyDescent="0.25">
      <c r="A38">
        <v>37</v>
      </c>
      <c r="B38" t="s">
        <v>102</v>
      </c>
      <c r="C38" t="s">
        <v>103</v>
      </c>
      <c r="D38">
        <v>67</v>
      </c>
      <c r="E38" t="s">
        <v>19</v>
      </c>
      <c r="F38" t="s">
        <v>20</v>
      </c>
      <c r="G38" t="s">
        <v>54</v>
      </c>
      <c r="H38" s="10">
        <v>46091.934120370373</v>
      </c>
    </row>
    <row r="39" spans="1:8" x14ac:dyDescent="0.25">
      <c r="A39">
        <v>38</v>
      </c>
      <c r="B39" t="s">
        <v>104</v>
      </c>
      <c r="C39" t="s">
        <v>105</v>
      </c>
      <c r="D39">
        <v>33</v>
      </c>
      <c r="E39" t="s">
        <v>19</v>
      </c>
      <c r="F39" t="s">
        <v>20</v>
      </c>
      <c r="G39" t="s">
        <v>65</v>
      </c>
      <c r="H39" s="10">
        <v>46091.934814814813</v>
      </c>
    </row>
    <row r="40" spans="1:8" x14ac:dyDescent="0.25">
      <c r="A40">
        <v>39</v>
      </c>
      <c r="B40" t="s">
        <v>106</v>
      </c>
      <c r="C40" t="s">
        <v>107</v>
      </c>
      <c r="D40">
        <v>59</v>
      </c>
      <c r="E40" t="s">
        <v>10</v>
      </c>
      <c r="F40" t="s">
        <v>45</v>
      </c>
      <c r="G40" t="s">
        <v>12</v>
      </c>
      <c r="H40" s="10">
        <v>46091.935023148151</v>
      </c>
    </row>
    <row r="41" spans="1:8" x14ac:dyDescent="0.25">
      <c r="A41">
        <v>40</v>
      </c>
      <c r="B41" t="s">
        <v>108</v>
      </c>
      <c r="C41" t="s">
        <v>109</v>
      </c>
      <c r="D41">
        <v>48</v>
      </c>
      <c r="E41" t="s">
        <v>26</v>
      </c>
      <c r="F41" t="s">
        <v>15</v>
      </c>
      <c r="G41" t="s">
        <v>99</v>
      </c>
      <c r="H41" s="10">
        <v>46091.93550925926</v>
      </c>
    </row>
    <row r="42" spans="1:8" x14ac:dyDescent="0.25">
      <c r="A42">
        <v>41</v>
      </c>
      <c r="B42" t="s">
        <v>110</v>
      </c>
      <c r="C42" t="s">
        <v>111</v>
      </c>
      <c r="D42">
        <v>37</v>
      </c>
      <c r="E42" t="s">
        <v>19</v>
      </c>
      <c r="F42" t="s">
        <v>20</v>
      </c>
      <c r="G42" t="s">
        <v>76</v>
      </c>
      <c r="H42" s="10">
        <v>46091.935868055552</v>
      </c>
    </row>
    <row r="43" spans="1:8" x14ac:dyDescent="0.25">
      <c r="A43">
        <v>42</v>
      </c>
      <c r="B43" t="s">
        <v>112</v>
      </c>
      <c r="C43" t="s">
        <v>113</v>
      </c>
      <c r="D43">
        <v>52</v>
      </c>
      <c r="E43" t="s">
        <v>10</v>
      </c>
      <c r="F43" t="s">
        <v>29</v>
      </c>
      <c r="G43" t="s">
        <v>114</v>
      </c>
      <c r="H43" s="10">
        <v>46091.936400462961</v>
      </c>
    </row>
    <row r="44" spans="1:8" x14ac:dyDescent="0.25">
      <c r="A44">
        <v>43</v>
      </c>
      <c r="B44" t="s">
        <v>115</v>
      </c>
      <c r="C44" t="s">
        <v>109</v>
      </c>
      <c r="D44">
        <v>38</v>
      </c>
      <c r="E44" t="s">
        <v>26</v>
      </c>
      <c r="F44" t="s">
        <v>11</v>
      </c>
      <c r="G44" t="s">
        <v>70</v>
      </c>
      <c r="H44" s="10">
        <v>46091.936550925922</v>
      </c>
    </row>
    <row r="45" spans="1:8" x14ac:dyDescent="0.25">
      <c r="A45">
        <v>44</v>
      </c>
      <c r="B45" t="s">
        <v>84</v>
      </c>
      <c r="C45" t="s">
        <v>18</v>
      </c>
      <c r="D45">
        <v>45</v>
      </c>
      <c r="E45" t="s">
        <v>26</v>
      </c>
      <c r="F45" t="s">
        <v>45</v>
      </c>
      <c r="G45" t="s">
        <v>80</v>
      </c>
      <c r="H45" s="10">
        <v>46091.937060185184</v>
      </c>
    </row>
    <row r="46" spans="1:8" x14ac:dyDescent="0.25">
      <c r="A46">
        <v>45</v>
      </c>
      <c r="B46" t="s">
        <v>108</v>
      </c>
      <c r="C46" t="s">
        <v>116</v>
      </c>
      <c r="D46">
        <v>66</v>
      </c>
      <c r="E46" t="s">
        <v>10</v>
      </c>
      <c r="F46" t="s">
        <v>15</v>
      </c>
      <c r="G46" t="s">
        <v>30</v>
      </c>
      <c r="H46" s="10">
        <v>46091.9375</v>
      </c>
    </row>
    <row r="47" spans="1:8" x14ac:dyDescent="0.25">
      <c r="A47">
        <v>46</v>
      </c>
      <c r="B47" t="s">
        <v>117</v>
      </c>
      <c r="C47" t="s">
        <v>118</v>
      </c>
      <c r="D47">
        <v>28</v>
      </c>
      <c r="E47" t="s">
        <v>26</v>
      </c>
      <c r="F47" t="s">
        <v>15</v>
      </c>
      <c r="G47" t="s">
        <v>54</v>
      </c>
      <c r="H47" s="10">
        <v>46091.937754629631</v>
      </c>
    </row>
    <row r="48" spans="1:8" x14ac:dyDescent="0.25">
      <c r="A48">
        <v>47</v>
      </c>
      <c r="B48" t="s">
        <v>119</v>
      </c>
      <c r="C48" t="s">
        <v>120</v>
      </c>
      <c r="D48">
        <v>63</v>
      </c>
      <c r="E48" t="s">
        <v>19</v>
      </c>
      <c r="F48" t="s">
        <v>33</v>
      </c>
      <c r="G48" t="s">
        <v>23</v>
      </c>
      <c r="H48" s="10">
        <v>46091.938090277778</v>
      </c>
    </row>
    <row r="49" spans="1:8" x14ac:dyDescent="0.25">
      <c r="A49">
        <v>48</v>
      </c>
      <c r="B49" t="s">
        <v>84</v>
      </c>
      <c r="C49" t="s">
        <v>121</v>
      </c>
      <c r="D49">
        <v>24</v>
      </c>
      <c r="E49" t="s">
        <v>19</v>
      </c>
      <c r="F49" t="s">
        <v>45</v>
      </c>
      <c r="G49" t="s">
        <v>46</v>
      </c>
      <c r="H49" s="10">
        <v>46091.938449074078</v>
      </c>
    </row>
    <row r="50" spans="1:8" x14ac:dyDescent="0.25">
      <c r="A50">
        <v>49</v>
      </c>
      <c r="B50" t="s">
        <v>122</v>
      </c>
      <c r="C50" t="s">
        <v>123</v>
      </c>
      <c r="D50">
        <v>55</v>
      </c>
      <c r="E50" t="s">
        <v>26</v>
      </c>
      <c r="F50" t="s">
        <v>73</v>
      </c>
      <c r="G50" t="s">
        <v>42</v>
      </c>
      <c r="H50" s="10">
        <v>46091.938784722224</v>
      </c>
    </row>
    <row r="51" spans="1:8" x14ac:dyDescent="0.25">
      <c r="A51">
        <v>50</v>
      </c>
      <c r="B51" t="s">
        <v>104</v>
      </c>
      <c r="C51" t="s">
        <v>124</v>
      </c>
      <c r="D51">
        <v>29</v>
      </c>
      <c r="E51" t="s">
        <v>26</v>
      </c>
      <c r="F51" t="s">
        <v>29</v>
      </c>
      <c r="G51" t="s">
        <v>57</v>
      </c>
      <c r="H51" s="10">
        <v>46091.939189814817</v>
      </c>
    </row>
    <row r="52" spans="1:8" x14ac:dyDescent="0.25">
      <c r="A52">
        <v>51</v>
      </c>
      <c r="B52" t="s">
        <v>125</v>
      </c>
      <c r="C52" t="s">
        <v>126</v>
      </c>
      <c r="D52">
        <v>54</v>
      </c>
      <c r="E52" t="s">
        <v>26</v>
      </c>
      <c r="F52" t="s">
        <v>20</v>
      </c>
      <c r="G52" t="s">
        <v>54</v>
      </c>
      <c r="H52" s="10">
        <v>46091.939814814818</v>
      </c>
    </row>
    <row r="53" spans="1:8" x14ac:dyDescent="0.25">
      <c r="A53">
        <v>52</v>
      </c>
      <c r="B53" t="s">
        <v>127</v>
      </c>
      <c r="C53" t="s">
        <v>128</v>
      </c>
      <c r="D53">
        <v>20</v>
      </c>
      <c r="E53" t="s">
        <v>26</v>
      </c>
      <c r="F53" t="s">
        <v>11</v>
      </c>
      <c r="G53" t="s">
        <v>99</v>
      </c>
      <c r="H53" s="10">
        <v>46091.94027777778</v>
      </c>
    </row>
    <row r="54" spans="1:8" x14ac:dyDescent="0.25">
      <c r="A54">
        <v>53</v>
      </c>
      <c r="B54" t="s">
        <v>24</v>
      </c>
      <c r="C54" t="s">
        <v>129</v>
      </c>
      <c r="D54">
        <v>54</v>
      </c>
      <c r="E54" t="s">
        <v>19</v>
      </c>
      <c r="F54" t="s">
        <v>73</v>
      </c>
      <c r="G54" t="s">
        <v>130</v>
      </c>
      <c r="H54" s="10">
        <v>46091.940844907411</v>
      </c>
    </row>
    <row r="55" spans="1:8" x14ac:dyDescent="0.25">
      <c r="A55">
        <v>54</v>
      </c>
      <c r="B55" t="s">
        <v>131</v>
      </c>
      <c r="C55" t="s">
        <v>132</v>
      </c>
      <c r="D55">
        <v>23</v>
      </c>
      <c r="E55" t="s">
        <v>10</v>
      </c>
      <c r="F55" t="s">
        <v>33</v>
      </c>
      <c r="G55" t="s">
        <v>133</v>
      </c>
      <c r="H55" s="10">
        <v>46091.941238425927</v>
      </c>
    </row>
    <row r="56" spans="1:8" x14ac:dyDescent="0.25">
      <c r="A56">
        <v>55</v>
      </c>
      <c r="B56" t="s">
        <v>134</v>
      </c>
      <c r="C56" t="s">
        <v>135</v>
      </c>
      <c r="D56">
        <v>50</v>
      </c>
      <c r="E56" t="s">
        <v>26</v>
      </c>
      <c r="F56" t="s">
        <v>11</v>
      </c>
      <c r="G56" t="s">
        <v>76</v>
      </c>
      <c r="H56" s="10">
        <v>46091.941423611112</v>
      </c>
    </row>
    <row r="57" spans="1:8" x14ac:dyDescent="0.25">
      <c r="A57">
        <v>56</v>
      </c>
      <c r="B57" t="s">
        <v>62</v>
      </c>
      <c r="C57" t="s">
        <v>136</v>
      </c>
      <c r="D57">
        <v>37</v>
      </c>
      <c r="E57" t="s">
        <v>19</v>
      </c>
      <c r="F57" t="s">
        <v>45</v>
      </c>
      <c r="G57" t="s">
        <v>57</v>
      </c>
      <c r="H57" s="10">
        <v>46091.941712962966</v>
      </c>
    </row>
    <row r="58" spans="1:8" x14ac:dyDescent="0.25">
      <c r="A58">
        <v>57</v>
      </c>
      <c r="B58" t="s">
        <v>74</v>
      </c>
      <c r="C58" t="s">
        <v>137</v>
      </c>
      <c r="D58">
        <v>20</v>
      </c>
      <c r="E58" t="s">
        <v>10</v>
      </c>
      <c r="F58" t="s">
        <v>20</v>
      </c>
      <c r="G58" t="s">
        <v>12</v>
      </c>
      <c r="H58" s="10">
        <v>46091.942106481481</v>
      </c>
    </row>
    <row r="59" spans="1:8" x14ac:dyDescent="0.25">
      <c r="A59">
        <v>58</v>
      </c>
      <c r="B59" t="s">
        <v>138</v>
      </c>
      <c r="C59" t="s">
        <v>139</v>
      </c>
      <c r="D59">
        <v>49</v>
      </c>
      <c r="E59" t="s">
        <v>26</v>
      </c>
      <c r="F59" t="s">
        <v>20</v>
      </c>
      <c r="G59" t="s">
        <v>39</v>
      </c>
      <c r="H59" s="10">
        <v>46091.942280092589</v>
      </c>
    </row>
    <row r="60" spans="1:8" x14ac:dyDescent="0.25">
      <c r="A60">
        <v>59</v>
      </c>
      <c r="B60" t="s">
        <v>140</v>
      </c>
      <c r="C60" t="s">
        <v>141</v>
      </c>
      <c r="D60">
        <v>59</v>
      </c>
      <c r="E60" t="s">
        <v>26</v>
      </c>
      <c r="F60" t="s">
        <v>15</v>
      </c>
      <c r="G60" t="s">
        <v>54</v>
      </c>
      <c r="H60" s="10">
        <v>46091.942696759259</v>
      </c>
    </row>
    <row r="61" spans="1:8" x14ac:dyDescent="0.25">
      <c r="A61">
        <v>60</v>
      </c>
      <c r="B61" t="s">
        <v>142</v>
      </c>
      <c r="C61" t="s">
        <v>143</v>
      </c>
      <c r="D61">
        <v>21</v>
      </c>
      <c r="E61" t="s">
        <v>19</v>
      </c>
      <c r="F61" t="s">
        <v>45</v>
      </c>
      <c r="G61" t="s">
        <v>68</v>
      </c>
      <c r="H61" s="10">
        <v>46091.942824074074</v>
      </c>
    </row>
    <row r="62" spans="1:8" x14ac:dyDescent="0.25">
      <c r="A62">
        <v>61</v>
      </c>
      <c r="B62" t="s">
        <v>134</v>
      </c>
      <c r="C62" t="s">
        <v>105</v>
      </c>
      <c r="D62">
        <v>26</v>
      </c>
      <c r="E62" t="s">
        <v>26</v>
      </c>
      <c r="F62" t="s">
        <v>20</v>
      </c>
      <c r="G62" t="s">
        <v>42</v>
      </c>
      <c r="H62" s="10">
        <v>46091.942962962959</v>
      </c>
    </row>
    <row r="63" spans="1:8" x14ac:dyDescent="0.25">
      <c r="A63">
        <v>62</v>
      </c>
      <c r="B63" t="s">
        <v>144</v>
      </c>
      <c r="C63" t="s">
        <v>145</v>
      </c>
      <c r="D63">
        <v>52</v>
      </c>
      <c r="E63" t="s">
        <v>19</v>
      </c>
      <c r="F63" t="s">
        <v>20</v>
      </c>
      <c r="G63" t="s">
        <v>70</v>
      </c>
      <c r="H63" s="10">
        <v>46091.943287037036</v>
      </c>
    </row>
    <row r="64" spans="1:8" x14ac:dyDescent="0.25">
      <c r="A64">
        <v>63</v>
      </c>
      <c r="B64" t="s">
        <v>146</v>
      </c>
      <c r="C64" t="s">
        <v>147</v>
      </c>
      <c r="D64">
        <v>51</v>
      </c>
      <c r="E64" t="s">
        <v>10</v>
      </c>
      <c r="F64" t="s">
        <v>11</v>
      </c>
      <c r="G64" t="s">
        <v>99</v>
      </c>
      <c r="H64" s="10">
        <v>46091.943773148145</v>
      </c>
    </row>
    <row r="65" spans="1:8" x14ac:dyDescent="0.25">
      <c r="A65">
        <v>64</v>
      </c>
      <c r="B65" t="s">
        <v>119</v>
      </c>
      <c r="C65" t="s">
        <v>148</v>
      </c>
      <c r="D65">
        <v>34</v>
      </c>
      <c r="E65" t="s">
        <v>19</v>
      </c>
      <c r="F65" t="s">
        <v>15</v>
      </c>
      <c r="G65" t="s">
        <v>68</v>
      </c>
      <c r="H65" s="10">
        <v>46091.94431712963</v>
      </c>
    </row>
    <row r="66" spans="1:8" x14ac:dyDescent="0.25">
      <c r="A66">
        <v>65</v>
      </c>
      <c r="B66" t="s">
        <v>149</v>
      </c>
      <c r="C66" t="s">
        <v>150</v>
      </c>
      <c r="D66">
        <v>38</v>
      </c>
      <c r="E66" t="s">
        <v>19</v>
      </c>
      <c r="F66" t="s">
        <v>33</v>
      </c>
      <c r="G66" t="s">
        <v>76</v>
      </c>
      <c r="H66" s="10">
        <v>46091.944918981484</v>
      </c>
    </row>
    <row r="67" spans="1:8" x14ac:dyDescent="0.25">
      <c r="A67">
        <v>66</v>
      </c>
      <c r="B67" t="s">
        <v>151</v>
      </c>
      <c r="C67" t="s">
        <v>152</v>
      </c>
      <c r="D67">
        <v>29</v>
      </c>
      <c r="E67" t="s">
        <v>26</v>
      </c>
      <c r="F67" t="s">
        <v>11</v>
      </c>
      <c r="G67" t="s">
        <v>30</v>
      </c>
      <c r="H67" s="10">
        <v>46091.945324074077</v>
      </c>
    </row>
    <row r="68" spans="1:8" x14ac:dyDescent="0.25">
      <c r="A68">
        <v>67</v>
      </c>
      <c r="B68" t="s">
        <v>153</v>
      </c>
      <c r="C68" t="s">
        <v>154</v>
      </c>
      <c r="D68">
        <v>39</v>
      </c>
      <c r="E68" t="s">
        <v>26</v>
      </c>
      <c r="F68" t="s">
        <v>15</v>
      </c>
      <c r="G68" t="s">
        <v>76</v>
      </c>
      <c r="H68" s="10">
        <v>46091.945648148147</v>
      </c>
    </row>
    <row r="69" spans="1:8" x14ac:dyDescent="0.25">
      <c r="A69">
        <v>68</v>
      </c>
      <c r="B69" t="s">
        <v>155</v>
      </c>
      <c r="C69" t="s">
        <v>156</v>
      </c>
      <c r="D69">
        <v>56</v>
      </c>
      <c r="E69" t="s">
        <v>26</v>
      </c>
      <c r="F69" t="s">
        <v>15</v>
      </c>
      <c r="G69" t="s">
        <v>130</v>
      </c>
      <c r="H69" s="10">
        <v>46091.946261574078</v>
      </c>
    </row>
    <row r="70" spans="1:8" x14ac:dyDescent="0.25">
      <c r="A70">
        <v>69</v>
      </c>
      <c r="B70" t="s">
        <v>97</v>
      </c>
      <c r="C70" t="s">
        <v>157</v>
      </c>
      <c r="D70">
        <v>68</v>
      </c>
      <c r="E70" t="s">
        <v>19</v>
      </c>
      <c r="F70" t="s">
        <v>11</v>
      </c>
      <c r="G70" t="s">
        <v>54</v>
      </c>
      <c r="H70" s="10">
        <v>46091.946747685186</v>
      </c>
    </row>
    <row r="71" spans="1:8" x14ac:dyDescent="0.25">
      <c r="A71">
        <v>70</v>
      </c>
      <c r="B71" t="s">
        <v>158</v>
      </c>
      <c r="C71" t="s">
        <v>159</v>
      </c>
      <c r="D71">
        <v>25</v>
      </c>
      <c r="E71" t="s">
        <v>10</v>
      </c>
      <c r="F71" t="s">
        <v>45</v>
      </c>
      <c r="G71" t="s">
        <v>16</v>
      </c>
      <c r="H71" s="10">
        <v>46091.947418981479</v>
      </c>
    </row>
    <row r="72" spans="1:8" x14ac:dyDescent="0.25">
      <c r="A72">
        <v>71</v>
      </c>
      <c r="B72" t="s">
        <v>160</v>
      </c>
      <c r="C72" t="s">
        <v>161</v>
      </c>
      <c r="D72">
        <v>37</v>
      </c>
      <c r="E72" t="s">
        <v>26</v>
      </c>
      <c r="F72" t="s">
        <v>73</v>
      </c>
      <c r="G72" t="s">
        <v>12</v>
      </c>
      <c r="H72" s="10">
        <v>46091.947916666664</v>
      </c>
    </row>
    <row r="73" spans="1:8" x14ac:dyDescent="0.25">
      <c r="A73">
        <v>72</v>
      </c>
      <c r="B73" t="s">
        <v>162</v>
      </c>
      <c r="C73" t="s">
        <v>163</v>
      </c>
      <c r="D73">
        <v>50</v>
      </c>
      <c r="E73" t="s">
        <v>26</v>
      </c>
      <c r="F73" t="s">
        <v>45</v>
      </c>
      <c r="G73" t="s">
        <v>70</v>
      </c>
      <c r="H73" s="10">
        <v>46091.948437500003</v>
      </c>
    </row>
    <row r="74" spans="1:8" x14ac:dyDescent="0.25">
      <c r="A74">
        <v>73</v>
      </c>
      <c r="B74" t="s">
        <v>164</v>
      </c>
      <c r="C74" t="s">
        <v>165</v>
      </c>
      <c r="D74">
        <v>41</v>
      </c>
      <c r="E74" t="s">
        <v>26</v>
      </c>
      <c r="F74" t="s">
        <v>45</v>
      </c>
      <c r="G74" t="s">
        <v>30</v>
      </c>
      <c r="H74" s="10">
        <v>46091.948842592596</v>
      </c>
    </row>
    <row r="75" spans="1:8" x14ac:dyDescent="0.25">
      <c r="A75">
        <v>74</v>
      </c>
      <c r="B75" t="s">
        <v>166</v>
      </c>
      <c r="C75" t="s">
        <v>167</v>
      </c>
      <c r="D75">
        <v>29</v>
      </c>
      <c r="E75" t="s">
        <v>19</v>
      </c>
      <c r="F75" t="s">
        <v>33</v>
      </c>
      <c r="G75" t="s">
        <v>16</v>
      </c>
      <c r="H75" s="10">
        <v>46091.949421296296</v>
      </c>
    </row>
    <row r="76" spans="1:8" x14ac:dyDescent="0.25">
      <c r="A76">
        <v>75</v>
      </c>
      <c r="B76" t="s">
        <v>168</v>
      </c>
      <c r="C76" t="s">
        <v>91</v>
      </c>
      <c r="D76">
        <v>63</v>
      </c>
      <c r="E76" t="s">
        <v>26</v>
      </c>
      <c r="F76" t="s">
        <v>11</v>
      </c>
      <c r="G76" t="s">
        <v>130</v>
      </c>
      <c r="H76" s="10">
        <v>46091.950069444443</v>
      </c>
    </row>
    <row r="77" spans="1:8" x14ac:dyDescent="0.25">
      <c r="A77">
        <v>76</v>
      </c>
      <c r="B77" t="s">
        <v>169</v>
      </c>
      <c r="C77" t="s">
        <v>170</v>
      </c>
      <c r="D77">
        <v>52</v>
      </c>
      <c r="E77" t="s">
        <v>10</v>
      </c>
      <c r="F77" t="s">
        <v>15</v>
      </c>
      <c r="G77" t="s">
        <v>133</v>
      </c>
      <c r="H77" s="10">
        <v>46091.950335648151</v>
      </c>
    </row>
    <row r="78" spans="1:8" x14ac:dyDescent="0.25">
      <c r="A78">
        <v>77</v>
      </c>
      <c r="B78" t="s">
        <v>171</v>
      </c>
      <c r="C78" t="s">
        <v>172</v>
      </c>
      <c r="D78">
        <v>42</v>
      </c>
      <c r="E78" t="s">
        <v>19</v>
      </c>
      <c r="F78" t="s">
        <v>73</v>
      </c>
      <c r="G78" t="s">
        <v>54</v>
      </c>
      <c r="H78" s="10">
        <v>46091.95045138889</v>
      </c>
    </row>
    <row r="79" spans="1:8" x14ac:dyDescent="0.25">
      <c r="A79">
        <v>78</v>
      </c>
      <c r="B79" t="s">
        <v>168</v>
      </c>
      <c r="C79" t="s">
        <v>75</v>
      </c>
      <c r="D79">
        <v>30</v>
      </c>
      <c r="E79" t="s">
        <v>19</v>
      </c>
      <c r="F79" t="s">
        <v>45</v>
      </c>
      <c r="G79" t="s">
        <v>12</v>
      </c>
      <c r="H79" s="10">
        <v>46091.951064814813</v>
      </c>
    </row>
    <row r="80" spans="1:8" x14ac:dyDescent="0.25">
      <c r="A80">
        <v>79</v>
      </c>
      <c r="B80" t="s">
        <v>173</v>
      </c>
      <c r="C80" t="s">
        <v>174</v>
      </c>
      <c r="D80">
        <v>31</v>
      </c>
      <c r="E80" t="s">
        <v>10</v>
      </c>
      <c r="F80" t="s">
        <v>29</v>
      </c>
      <c r="G80" t="s">
        <v>54</v>
      </c>
      <c r="H80" s="10">
        <v>46091.951192129629</v>
      </c>
    </row>
    <row r="81" spans="1:8" x14ac:dyDescent="0.25">
      <c r="A81">
        <v>80</v>
      </c>
      <c r="B81" t="s">
        <v>175</v>
      </c>
      <c r="C81" t="s">
        <v>176</v>
      </c>
      <c r="D81">
        <v>59</v>
      </c>
      <c r="E81" t="s">
        <v>10</v>
      </c>
      <c r="F81" t="s">
        <v>45</v>
      </c>
      <c r="G81" t="s">
        <v>133</v>
      </c>
      <c r="H81" s="10">
        <v>46091.951736111114</v>
      </c>
    </row>
    <row r="82" spans="1:8" x14ac:dyDescent="0.25">
      <c r="A82">
        <v>81</v>
      </c>
      <c r="B82" t="s">
        <v>86</v>
      </c>
      <c r="C82" t="s">
        <v>177</v>
      </c>
      <c r="D82">
        <v>34</v>
      </c>
      <c r="E82" t="s">
        <v>19</v>
      </c>
      <c r="F82" t="s">
        <v>29</v>
      </c>
      <c r="G82" t="s">
        <v>70</v>
      </c>
      <c r="H82" s="10">
        <v>46091.951898148145</v>
      </c>
    </row>
    <row r="83" spans="1:8" x14ac:dyDescent="0.25">
      <c r="A83">
        <v>82</v>
      </c>
      <c r="B83" t="s">
        <v>178</v>
      </c>
      <c r="C83" t="s">
        <v>179</v>
      </c>
      <c r="D83">
        <v>61</v>
      </c>
      <c r="E83" t="s">
        <v>19</v>
      </c>
      <c r="F83" t="s">
        <v>29</v>
      </c>
      <c r="G83" t="s">
        <v>23</v>
      </c>
      <c r="H83" s="10">
        <v>46091.952361111114</v>
      </c>
    </row>
    <row r="84" spans="1:8" x14ac:dyDescent="0.25">
      <c r="A84">
        <v>83</v>
      </c>
      <c r="B84" t="s">
        <v>180</v>
      </c>
      <c r="C84" t="s">
        <v>181</v>
      </c>
      <c r="D84">
        <v>50</v>
      </c>
      <c r="E84" t="s">
        <v>10</v>
      </c>
      <c r="F84" t="s">
        <v>33</v>
      </c>
      <c r="G84" t="s">
        <v>68</v>
      </c>
      <c r="H84" s="10">
        <v>46091.952800925923</v>
      </c>
    </row>
    <row r="85" spans="1:8" x14ac:dyDescent="0.25">
      <c r="A85">
        <v>84</v>
      </c>
      <c r="B85" t="s">
        <v>182</v>
      </c>
      <c r="C85" t="s">
        <v>183</v>
      </c>
      <c r="D85">
        <v>34</v>
      </c>
      <c r="E85" t="s">
        <v>10</v>
      </c>
      <c r="F85" t="s">
        <v>33</v>
      </c>
      <c r="G85" t="s">
        <v>133</v>
      </c>
      <c r="H85" s="10">
        <v>46091.953368055554</v>
      </c>
    </row>
    <row r="86" spans="1:8" x14ac:dyDescent="0.25">
      <c r="A86">
        <v>85</v>
      </c>
      <c r="B86" t="s">
        <v>184</v>
      </c>
      <c r="C86" t="s">
        <v>185</v>
      </c>
      <c r="D86">
        <v>58</v>
      </c>
      <c r="E86" t="s">
        <v>26</v>
      </c>
      <c r="F86" t="s">
        <v>33</v>
      </c>
      <c r="G86" t="s">
        <v>80</v>
      </c>
      <c r="H86" s="10">
        <v>46091.953518518516</v>
      </c>
    </row>
    <row r="87" spans="1:8" x14ac:dyDescent="0.25">
      <c r="A87">
        <v>86</v>
      </c>
      <c r="B87" t="s">
        <v>86</v>
      </c>
      <c r="C87" t="s">
        <v>186</v>
      </c>
      <c r="D87">
        <v>52</v>
      </c>
      <c r="E87" t="s">
        <v>26</v>
      </c>
      <c r="F87" t="s">
        <v>29</v>
      </c>
      <c r="G87" t="s">
        <v>30</v>
      </c>
      <c r="H87" s="10">
        <v>46091.953969907408</v>
      </c>
    </row>
    <row r="88" spans="1:8" x14ac:dyDescent="0.25">
      <c r="A88">
        <v>87</v>
      </c>
      <c r="B88" t="s">
        <v>86</v>
      </c>
      <c r="C88" t="s">
        <v>187</v>
      </c>
      <c r="D88">
        <v>38</v>
      </c>
      <c r="E88" t="s">
        <v>10</v>
      </c>
      <c r="F88" t="s">
        <v>33</v>
      </c>
      <c r="G88" t="s">
        <v>12</v>
      </c>
      <c r="H88" s="10">
        <v>46091.95453703704</v>
      </c>
    </row>
    <row r="89" spans="1:8" x14ac:dyDescent="0.25">
      <c r="A89">
        <v>88</v>
      </c>
      <c r="B89" t="s">
        <v>188</v>
      </c>
      <c r="C89" t="s">
        <v>189</v>
      </c>
      <c r="D89">
        <v>39</v>
      </c>
      <c r="E89" t="s">
        <v>19</v>
      </c>
      <c r="F89" t="s">
        <v>20</v>
      </c>
      <c r="G89" t="s">
        <v>76</v>
      </c>
      <c r="H89" s="10">
        <v>46091.954988425925</v>
      </c>
    </row>
    <row r="90" spans="1:8" x14ac:dyDescent="0.25">
      <c r="A90">
        <v>89</v>
      </c>
      <c r="B90" t="s">
        <v>190</v>
      </c>
      <c r="C90" t="s">
        <v>191</v>
      </c>
      <c r="D90">
        <v>27</v>
      </c>
      <c r="E90" t="s">
        <v>10</v>
      </c>
      <c r="F90" t="s">
        <v>45</v>
      </c>
      <c r="G90" t="s">
        <v>70</v>
      </c>
      <c r="H90" s="10">
        <v>46091.955196759256</v>
      </c>
    </row>
    <row r="91" spans="1:8" x14ac:dyDescent="0.25">
      <c r="A91">
        <v>90</v>
      </c>
      <c r="B91" t="s">
        <v>192</v>
      </c>
      <c r="C91" t="s">
        <v>193</v>
      </c>
      <c r="D91">
        <v>28</v>
      </c>
      <c r="E91" t="s">
        <v>10</v>
      </c>
      <c r="F91" t="s">
        <v>29</v>
      </c>
      <c r="G91" t="s">
        <v>70</v>
      </c>
      <c r="H91" s="10">
        <v>46091.955613425926</v>
      </c>
    </row>
    <row r="92" spans="1:8" x14ac:dyDescent="0.25">
      <c r="A92">
        <v>91</v>
      </c>
      <c r="B92" t="s">
        <v>194</v>
      </c>
      <c r="C92" t="s">
        <v>195</v>
      </c>
      <c r="D92">
        <v>64</v>
      </c>
      <c r="E92" t="s">
        <v>10</v>
      </c>
      <c r="F92" t="s">
        <v>11</v>
      </c>
      <c r="G92" t="s">
        <v>42</v>
      </c>
      <c r="H92" s="10">
        <v>46091.955937500003</v>
      </c>
    </row>
    <row r="93" spans="1:8" x14ac:dyDescent="0.25">
      <c r="A93">
        <v>92</v>
      </c>
      <c r="B93" t="s">
        <v>196</v>
      </c>
      <c r="C93" t="s">
        <v>197</v>
      </c>
      <c r="D93">
        <v>28</v>
      </c>
      <c r="E93" t="s">
        <v>19</v>
      </c>
      <c r="F93" t="s">
        <v>29</v>
      </c>
      <c r="G93" t="s">
        <v>12</v>
      </c>
      <c r="H93" s="10">
        <v>46091.956377314818</v>
      </c>
    </row>
    <row r="94" spans="1:8" x14ac:dyDescent="0.25">
      <c r="A94">
        <v>93</v>
      </c>
      <c r="B94" t="s">
        <v>198</v>
      </c>
      <c r="C94" t="s">
        <v>194</v>
      </c>
      <c r="D94">
        <v>37</v>
      </c>
      <c r="E94" t="s">
        <v>19</v>
      </c>
      <c r="F94" t="s">
        <v>29</v>
      </c>
      <c r="G94" t="s">
        <v>80</v>
      </c>
      <c r="H94" s="10">
        <v>46091.957002314812</v>
      </c>
    </row>
    <row r="95" spans="1:8" x14ac:dyDescent="0.25">
      <c r="A95">
        <v>94</v>
      </c>
      <c r="B95" t="s">
        <v>190</v>
      </c>
      <c r="C95" t="s">
        <v>185</v>
      </c>
      <c r="D95">
        <v>37</v>
      </c>
      <c r="E95" t="s">
        <v>26</v>
      </c>
      <c r="F95" t="s">
        <v>45</v>
      </c>
      <c r="G95" t="s">
        <v>16</v>
      </c>
      <c r="H95" s="10">
        <v>46091.957627314812</v>
      </c>
    </row>
    <row r="96" spans="1:8" x14ac:dyDescent="0.25">
      <c r="A96">
        <v>95</v>
      </c>
      <c r="B96" t="s">
        <v>199</v>
      </c>
      <c r="C96" t="s">
        <v>200</v>
      </c>
      <c r="D96">
        <v>40</v>
      </c>
      <c r="E96" t="s">
        <v>26</v>
      </c>
      <c r="F96" t="s">
        <v>29</v>
      </c>
      <c r="G96" t="s">
        <v>42</v>
      </c>
      <c r="H96" s="10">
        <v>46091.957986111112</v>
      </c>
    </row>
    <row r="97" spans="1:8" x14ac:dyDescent="0.25">
      <c r="A97">
        <v>96</v>
      </c>
      <c r="B97" t="s">
        <v>201</v>
      </c>
      <c r="C97" t="s">
        <v>202</v>
      </c>
      <c r="D97">
        <v>30</v>
      </c>
      <c r="E97" t="s">
        <v>10</v>
      </c>
      <c r="F97" t="s">
        <v>45</v>
      </c>
      <c r="G97" t="s">
        <v>68</v>
      </c>
      <c r="H97" s="10">
        <v>46091.958356481482</v>
      </c>
    </row>
    <row r="98" spans="1:8" x14ac:dyDescent="0.25">
      <c r="A98">
        <v>97</v>
      </c>
      <c r="B98" t="s">
        <v>203</v>
      </c>
      <c r="C98" t="s">
        <v>113</v>
      </c>
      <c r="D98">
        <v>67</v>
      </c>
      <c r="E98" t="s">
        <v>10</v>
      </c>
      <c r="F98" t="s">
        <v>33</v>
      </c>
      <c r="G98" t="s">
        <v>65</v>
      </c>
      <c r="H98" s="10">
        <v>46091.958657407406</v>
      </c>
    </row>
    <row r="99" spans="1:8" x14ac:dyDescent="0.25">
      <c r="A99">
        <v>98</v>
      </c>
      <c r="B99" t="s">
        <v>204</v>
      </c>
      <c r="C99" t="s">
        <v>205</v>
      </c>
      <c r="D99">
        <v>70</v>
      </c>
      <c r="E99" t="s">
        <v>26</v>
      </c>
      <c r="F99" t="s">
        <v>33</v>
      </c>
      <c r="G99" t="s">
        <v>16</v>
      </c>
      <c r="H99" s="10">
        <v>46091.958807870367</v>
      </c>
    </row>
    <row r="100" spans="1:8" x14ac:dyDescent="0.25">
      <c r="A100">
        <v>99</v>
      </c>
      <c r="B100" t="s">
        <v>206</v>
      </c>
      <c r="C100" t="s">
        <v>207</v>
      </c>
      <c r="D100">
        <v>68</v>
      </c>
      <c r="E100" t="s">
        <v>26</v>
      </c>
      <c r="F100" t="s">
        <v>11</v>
      </c>
      <c r="G100" t="s">
        <v>114</v>
      </c>
      <c r="H100" s="10">
        <v>46091.959398148145</v>
      </c>
    </row>
    <row r="101" spans="1:8" x14ac:dyDescent="0.25">
      <c r="A101">
        <v>100</v>
      </c>
      <c r="B101" t="s">
        <v>208</v>
      </c>
      <c r="C101" t="s">
        <v>94</v>
      </c>
      <c r="D101">
        <v>27</v>
      </c>
      <c r="E101" t="s">
        <v>19</v>
      </c>
      <c r="F101" t="s">
        <v>73</v>
      </c>
      <c r="G101" t="s">
        <v>30</v>
      </c>
      <c r="H101" s="10">
        <v>46091.959756944445</v>
      </c>
    </row>
    <row r="102" spans="1:8" x14ac:dyDescent="0.25">
      <c r="A102">
        <v>101</v>
      </c>
      <c r="B102" t="s">
        <v>140</v>
      </c>
      <c r="C102" t="s">
        <v>209</v>
      </c>
      <c r="D102">
        <v>18</v>
      </c>
      <c r="E102" t="s">
        <v>26</v>
      </c>
      <c r="F102" t="s">
        <v>29</v>
      </c>
      <c r="G102" t="s">
        <v>130</v>
      </c>
      <c r="H102" s="10">
        <v>46094.668877314813</v>
      </c>
    </row>
    <row r="103" spans="1:8" x14ac:dyDescent="0.25">
      <c r="A103">
        <v>102</v>
      </c>
      <c r="B103" t="s">
        <v>210</v>
      </c>
      <c r="C103" t="s">
        <v>211</v>
      </c>
      <c r="D103">
        <v>44</v>
      </c>
      <c r="E103" t="s">
        <v>19</v>
      </c>
      <c r="F103" t="s">
        <v>45</v>
      </c>
      <c r="G103" t="s">
        <v>23</v>
      </c>
      <c r="H103" s="10">
        <v>46094.669363425928</v>
      </c>
    </row>
    <row r="104" spans="1:8" x14ac:dyDescent="0.25">
      <c r="A104">
        <v>103</v>
      </c>
      <c r="B104" t="s">
        <v>88</v>
      </c>
      <c r="C104" t="s">
        <v>212</v>
      </c>
      <c r="D104">
        <v>49</v>
      </c>
      <c r="E104" t="s">
        <v>19</v>
      </c>
      <c r="F104" t="s">
        <v>33</v>
      </c>
      <c r="G104" t="s">
        <v>12</v>
      </c>
      <c r="H104" s="10">
        <v>46094.669976851852</v>
      </c>
    </row>
    <row r="105" spans="1:8" x14ac:dyDescent="0.25">
      <c r="A105">
        <v>104</v>
      </c>
      <c r="B105" t="s">
        <v>213</v>
      </c>
      <c r="C105" t="s">
        <v>214</v>
      </c>
      <c r="D105">
        <v>51</v>
      </c>
      <c r="E105" t="s">
        <v>26</v>
      </c>
      <c r="F105" t="s">
        <v>15</v>
      </c>
      <c r="G105" t="s">
        <v>114</v>
      </c>
      <c r="H105" s="10">
        <v>46094.670624999999</v>
      </c>
    </row>
    <row r="106" spans="1:8" x14ac:dyDescent="0.25">
      <c r="A106">
        <v>105</v>
      </c>
      <c r="B106" t="s">
        <v>215</v>
      </c>
      <c r="C106" t="s">
        <v>216</v>
      </c>
      <c r="D106">
        <v>18</v>
      </c>
      <c r="E106" t="s">
        <v>10</v>
      </c>
      <c r="F106" t="s">
        <v>33</v>
      </c>
      <c r="G106" t="s">
        <v>57</v>
      </c>
      <c r="H106" s="10">
        <v>46094.67114583333</v>
      </c>
    </row>
    <row r="107" spans="1:8" x14ac:dyDescent="0.25">
      <c r="A107">
        <v>106</v>
      </c>
      <c r="B107" t="s">
        <v>217</v>
      </c>
      <c r="C107" t="s">
        <v>128</v>
      </c>
      <c r="D107">
        <v>21</v>
      </c>
      <c r="E107" t="s">
        <v>26</v>
      </c>
      <c r="F107" t="s">
        <v>33</v>
      </c>
      <c r="G107" t="s">
        <v>68</v>
      </c>
      <c r="H107" s="10">
        <v>46094.671481481484</v>
      </c>
    </row>
    <row r="108" spans="1:8" x14ac:dyDescent="0.25">
      <c r="A108">
        <v>107</v>
      </c>
      <c r="B108" t="s">
        <v>218</v>
      </c>
      <c r="C108" t="s">
        <v>194</v>
      </c>
      <c r="D108">
        <v>66</v>
      </c>
      <c r="E108" t="s">
        <v>10</v>
      </c>
      <c r="F108" t="s">
        <v>11</v>
      </c>
      <c r="G108" t="s">
        <v>42</v>
      </c>
      <c r="H108" s="10">
        <v>46094.671990740739</v>
      </c>
    </row>
    <row r="109" spans="1:8" x14ac:dyDescent="0.25">
      <c r="A109">
        <v>108</v>
      </c>
      <c r="B109" t="s">
        <v>219</v>
      </c>
      <c r="C109" t="s">
        <v>205</v>
      </c>
      <c r="D109">
        <v>18</v>
      </c>
      <c r="E109" t="s">
        <v>26</v>
      </c>
      <c r="F109" t="s">
        <v>73</v>
      </c>
      <c r="G109" t="s">
        <v>12</v>
      </c>
      <c r="H109" s="10">
        <v>46094.672627314816</v>
      </c>
    </row>
    <row r="110" spans="1:8" x14ac:dyDescent="0.25">
      <c r="A110">
        <v>109</v>
      </c>
      <c r="B110" t="s">
        <v>220</v>
      </c>
      <c r="C110" t="s">
        <v>41</v>
      </c>
      <c r="D110">
        <v>21</v>
      </c>
      <c r="E110" t="s">
        <v>26</v>
      </c>
      <c r="F110" t="s">
        <v>29</v>
      </c>
      <c r="G110" t="s">
        <v>99</v>
      </c>
      <c r="H110" s="10">
        <v>46094.67328703704</v>
      </c>
    </row>
    <row r="111" spans="1:8" x14ac:dyDescent="0.25">
      <c r="A111">
        <v>110</v>
      </c>
      <c r="B111" t="s">
        <v>221</v>
      </c>
      <c r="C111" t="s">
        <v>222</v>
      </c>
      <c r="D111">
        <v>59</v>
      </c>
      <c r="E111" t="s">
        <v>19</v>
      </c>
      <c r="F111" t="s">
        <v>15</v>
      </c>
      <c r="G111" t="s">
        <v>133</v>
      </c>
      <c r="H111" s="10">
        <v>46094.673958333333</v>
      </c>
    </row>
    <row r="112" spans="1:8" x14ac:dyDescent="0.25">
      <c r="A112">
        <v>111</v>
      </c>
      <c r="B112" t="s">
        <v>223</v>
      </c>
      <c r="C112" t="s">
        <v>224</v>
      </c>
      <c r="D112">
        <v>19</v>
      </c>
      <c r="E112" t="s">
        <v>19</v>
      </c>
      <c r="F112" t="s">
        <v>29</v>
      </c>
      <c r="G112" t="s">
        <v>130</v>
      </c>
      <c r="H112" s="10">
        <v>46094.674513888887</v>
      </c>
    </row>
    <row r="113" spans="1:8" x14ac:dyDescent="0.25">
      <c r="A113">
        <v>112</v>
      </c>
      <c r="B113" t="s">
        <v>43</v>
      </c>
      <c r="C113" t="s">
        <v>225</v>
      </c>
      <c r="D113">
        <v>29</v>
      </c>
      <c r="E113" t="s">
        <v>19</v>
      </c>
      <c r="F113" t="s">
        <v>11</v>
      </c>
      <c r="G113" t="s">
        <v>36</v>
      </c>
      <c r="H113" s="10">
        <v>46094.675023148149</v>
      </c>
    </row>
    <row r="114" spans="1:8" x14ac:dyDescent="0.25">
      <c r="A114">
        <v>113</v>
      </c>
      <c r="B114" t="s">
        <v>226</v>
      </c>
      <c r="C114" t="s">
        <v>227</v>
      </c>
      <c r="D114">
        <v>61</v>
      </c>
      <c r="E114" t="s">
        <v>10</v>
      </c>
      <c r="F114" t="s">
        <v>33</v>
      </c>
      <c r="G114" t="s">
        <v>99</v>
      </c>
      <c r="H114" s="10">
        <v>46094.675416666665</v>
      </c>
    </row>
    <row r="115" spans="1:8" x14ac:dyDescent="0.25">
      <c r="A115">
        <v>114</v>
      </c>
      <c r="B115" t="s">
        <v>228</v>
      </c>
      <c r="C115" t="s">
        <v>229</v>
      </c>
      <c r="D115">
        <v>41</v>
      </c>
      <c r="E115" t="s">
        <v>19</v>
      </c>
      <c r="F115" t="s">
        <v>11</v>
      </c>
      <c r="G115" t="s">
        <v>133</v>
      </c>
      <c r="H115" s="10">
        <v>46094.675740740742</v>
      </c>
    </row>
    <row r="116" spans="1:8" x14ac:dyDescent="0.25">
      <c r="A116">
        <v>115</v>
      </c>
      <c r="B116" t="s">
        <v>66</v>
      </c>
      <c r="C116" t="s">
        <v>230</v>
      </c>
      <c r="D116">
        <v>22</v>
      </c>
      <c r="E116" t="s">
        <v>26</v>
      </c>
      <c r="F116" t="s">
        <v>45</v>
      </c>
      <c r="G116" t="s">
        <v>80</v>
      </c>
      <c r="H116" s="10">
        <v>46094.675868055558</v>
      </c>
    </row>
    <row r="117" spans="1:8" x14ac:dyDescent="0.25">
      <c r="A117">
        <v>116</v>
      </c>
      <c r="B117" t="s">
        <v>66</v>
      </c>
      <c r="C117" t="s">
        <v>18</v>
      </c>
      <c r="D117">
        <v>35</v>
      </c>
      <c r="E117" t="s">
        <v>10</v>
      </c>
      <c r="F117" t="s">
        <v>20</v>
      </c>
      <c r="G117" t="s">
        <v>54</v>
      </c>
      <c r="H117" s="10">
        <v>46094.676562499997</v>
      </c>
    </row>
    <row r="118" spans="1:8" x14ac:dyDescent="0.25">
      <c r="A118">
        <v>117</v>
      </c>
      <c r="B118" t="s">
        <v>231</v>
      </c>
      <c r="C118" t="s">
        <v>157</v>
      </c>
      <c r="D118">
        <v>22</v>
      </c>
      <c r="E118" t="s">
        <v>19</v>
      </c>
      <c r="F118" t="s">
        <v>29</v>
      </c>
      <c r="G118" t="s">
        <v>76</v>
      </c>
      <c r="H118" s="10">
        <v>46094.676863425928</v>
      </c>
    </row>
    <row r="119" spans="1:8" x14ac:dyDescent="0.25">
      <c r="A119">
        <v>118</v>
      </c>
      <c r="B119" t="s">
        <v>232</v>
      </c>
      <c r="C119" t="s">
        <v>233</v>
      </c>
      <c r="D119">
        <v>63</v>
      </c>
      <c r="E119" t="s">
        <v>10</v>
      </c>
      <c r="F119" t="s">
        <v>73</v>
      </c>
      <c r="G119" t="s">
        <v>76</v>
      </c>
      <c r="H119" s="10">
        <v>46094.677511574075</v>
      </c>
    </row>
    <row r="120" spans="1:8" x14ac:dyDescent="0.25">
      <c r="A120">
        <v>119</v>
      </c>
      <c r="B120" t="s">
        <v>234</v>
      </c>
      <c r="C120" t="s">
        <v>235</v>
      </c>
      <c r="D120">
        <v>64</v>
      </c>
      <c r="E120" t="s">
        <v>10</v>
      </c>
      <c r="F120" t="s">
        <v>29</v>
      </c>
      <c r="G120" t="s">
        <v>57</v>
      </c>
      <c r="H120" s="10">
        <v>46094.677847222221</v>
      </c>
    </row>
    <row r="121" spans="1:8" x14ac:dyDescent="0.25">
      <c r="A121">
        <v>120</v>
      </c>
      <c r="B121" t="s">
        <v>236</v>
      </c>
      <c r="C121" t="s">
        <v>237</v>
      </c>
      <c r="D121">
        <v>41</v>
      </c>
      <c r="E121" t="s">
        <v>10</v>
      </c>
      <c r="F121" t="s">
        <v>33</v>
      </c>
      <c r="G121" t="s">
        <v>30</v>
      </c>
      <c r="H121" s="10">
        <v>46094.678287037037</v>
      </c>
    </row>
    <row r="122" spans="1:8" x14ac:dyDescent="0.25">
      <c r="A122">
        <v>121</v>
      </c>
      <c r="B122" t="s">
        <v>238</v>
      </c>
      <c r="C122" t="s">
        <v>239</v>
      </c>
      <c r="D122">
        <v>63</v>
      </c>
      <c r="E122" t="s">
        <v>26</v>
      </c>
      <c r="F122" t="s">
        <v>73</v>
      </c>
      <c r="G122" t="s">
        <v>130</v>
      </c>
      <c r="H122" s="10">
        <v>46094.678888888891</v>
      </c>
    </row>
    <row r="123" spans="1:8" x14ac:dyDescent="0.25">
      <c r="A123">
        <v>122</v>
      </c>
      <c r="B123" t="s">
        <v>240</v>
      </c>
      <c r="C123" t="s">
        <v>241</v>
      </c>
      <c r="D123">
        <v>42</v>
      </c>
      <c r="E123" t="s">
        <v>26</v>
      </c>
      <c r="F123" t="s">
        <v>73</v>
      </c>
      <c r="G123" t="s">
        <v>30</v>
      </c>
      <c r="H123" s="10">
        <v>46094.679027777776</v>
      </c>
    </row>
    <row r="124" spans="1:8" x14ac:dyDescent="0.25">
      <c r="A124">
        <v>123</v>
      </c>
      <c r="B124" t="s">
        <v>242</v>
      </c>
      <c r="C124" t="s">
        <v>243</v>
      </c>
      <c r="D124">
        <v>60</v>
      </c>
      <c r="E124" t="s">
        <v>19</v>
      </c>
      <c r="F124" t="s">
        <v>11</v>
      </c>
      <c r="G124" t="s">
        <v>54</v>
      </c>
      <c r="H124" s="10">
        <v>46094.679710648146</v>
      </c>
    </row>
    <row r="125" spans="1:8" x14ac:dyDescent="0.25">
      <c r="A125">
        <v>124</v>
      </c>
      <c r="B125" t="s">
        <v>174</v>
      </c>
      <c r="C125" t="s">
        <v>244</v>
      </c>
      <c r="D125">
        <v>62</v>
      </c>
      <c r="E125" t="s">
        <v>19</v>
      </c>
      <c r="F125" t="s">
        <v>29</v>
      </c>
      <c r="G125" t="s">
        <v>12</v>
      </c>
      <c r="H125" s="10">
        <v>46094.680069444446</v>
      </c>
    </row>
    <row r="126" spans="1:8" x14ac:dyDescent="0.25">
      <c r="A126">
        <v>125</v>
      </c>
      <c r="B126" t="s">
        <v>119</v>
      </c>
      <c r="C126" t="s">
        <v>245</v>
      </c>
      <c r="D126">
        <v>49</v>
      </c>
      <c r="E126" t="s">
        <v>26</v>
      </c>
      <c r="F126" t="s">
        <v>73</v>
      </c>
      <c r="G126" t="s">
        <v>57</v>
      </c>
      <c r="H126" s="10">
        <v>46094.680393518516</v>
      </c>
    </row>
    <row r="127" spans="1:8" x14ac:dyDescent="0.25">
      <c r="A127">
        <v>126</v>
      </c>
      <c r="B127" t="s">
        <v>246</v>
      </c>
      <c r="C127" t="s">
        <v>247</v>
      </c>
      <c r="D127">
        <v>36</v>
      </c>
      <c r="E127" t="s">
        <v>26</v>
      </c>
      <c r="F127" t="s">
        <v>33</v>
      </c>
      <c r="G127" t="s">
        <v>70</v>
      </c>
      <c r="H127" s="10">
        <v>46094.68074074074</v>
      </c>
    </row>
    <row r="128" spans="1:8" x14ac:dyDescent="0.25">
      <c r="A128">
        <v>127</v>
      </c>
      <c r="B128" t="s">
        <v>248</v>
      </c>
      <c r="C128" t="s">
        <v>79</v>
      </c>
      <c r="D128">
        <v>38</v>
      </c>
      <c r="E128" t="s">
        <v>19</v>
      </c>
      <c r="F128" t="s">
        <v>15</v>
      </c>
      <c r="G128" t="s">
        <v>23</v>
      </c>
      <c r="H128" s="10">
        <v>46094.681111111109</v>
      </c>
    </row>
    <row r="129" spans="1:8" x14ac:dyDescent="0.25">
      <c r="A129">
        <v>128</v>
      </c>
      <c r="B129" t="s">
        <v>249</v>
      </c>
      <c r="C129" t="s">
        <v>176</v>
      </c>
      <c r="D129">
        <v>49</v>
      </c>
      <c r="E129" t="s">
        <v>26</v>
      </c>
      <c r="F129" t="s">
        <v>33</v>
      </c>
      <c r="G129" t="s">
        <v>51</v>
      </c>
      <c r="H129" s="10">
        <v>46094.682268518518</v>
      </c>
    </row>
    <row r="130" spans="1:8" x14ac:dyDescent="0.25">
      <c r="A130">
        <v>129</v>
      </c>
      <c r="B130" t="s">
        <v>250</v>
      </c>
      <c r="C130" t="s">
        <v>251</v>
      </c>
      <c r="D130">
        <v>58</v>
      </c>
      <c r="E130" t="s">
        <v>26</v>
      </c>
      <c r="F130" t="s">
        <v>45</v>
      </c>
      <c r="G130" t="s">
        <v>76</v>
      </c>
      <c r="H130" s="10">
        <v>46094.682627314818</v>
      </c>
    </row>
    <row r="131" spans="1:8" x14ac:dyDescent="0.25">
      <c r="A131">
        <v>130</v>
      </c>
      <c r="B131" t="s">
        <v>252</v>
      </c>
      <c r="C131" t="s">
        <v>253</v>
      </c>
      <c r="D131">
        <v>63</v>
      </c>
      <c r="E131" t="s">
        <v>10</v>
      </c>
      <c r="F131" t="s">
        <v>73</v>
      </c>
      <c r="G131" t="s">
        <v>57</v>
      </c>
      <c r="H131" s="10">
        <v>46094.683298611111</v>
      </c>
    </row>
    <row r="132" spans="1:8" x14ac:dyDescent="0.25">
      <c r="A132">
        <v>131</v>
      </c>
      <c r="B132" t="s">
        <v>254</v>
      </c>
      <c r="C132" t="s">
        <v>255</v>
      </c>
      <c r="D132">
        <v>70</v>
      </c>
      <c r="E132" t="s">
        <v>26</v>
      </c>
      <c r="F132" t="s">
        <v>15</v>
      </c>
      <c r="G132" t="s">
        <v>36</v>
      </c>
      <c r="H132" s="10">
        <v>46094.683807870373</v>
      </c>
    </row>
    <row r="133" spans="1:8" x14ac:dyDescent="0.25">
      <c r="A133">
        <v>132</v>
      </c>
      <c r="B133" t="s">
        <v>78</v>
      </c>
      <c r="C133" t="s">
        <v>135</v>
      </c>
      <c r="D133">
        <v>21</v>
      </c>
      <c r="E133" t="s">
        <v>10</v>
      </c>
      <c r="F133" t="s">
        <v>20</v>
      </c>
      <c r="G133" t="s">
        <v>23</v>
      </c>
      <c r="H133" s="10">
        <v>46094.68408564815</v>
      </c>
    </row>
    <row r="134" spans="1:8" x14ac:dyDescent="0.25">
      <c r="A134">
        <v>133</v>
      </c>
      <c r="B134" t="s">
        <v>256</v>
      </c>
      <c r="C134" t="s">
        <v>257</v>
      </c>
      <c r="D134">
        <v>41</v>
      </c>
      <c r="E134" t="s">
        <v>26</v>
      </c>
      <c r="F134" t="s">
        <v>29</v>
      </c>
      <c r="G134" t="s">
        <v>99</v>
      </c>
      <c r="H134" s="10">
        <v>46094.684340277781</v>
      </c>
    </row>
    <row r="135" spans="1:8" x14ac:dyDescent="0.25">
      <c r="A135">
        <v>134</v>
      </c>
      <c r="B135" t="s">
        <v>258</v>
      </c>
      <c r="C135" t="s">
        <v>259</v>
      </c>
      <c r="D135">
        <v>24</v>
      </c>
      <c r="E135" t="s">
        <v>10</v>
      </c>
      <c r="F135" t="s">
        <v>11</v>
      </c>
      <c r="G135" t="s">
        <v>54</v>
      </c>
      <c r="H135" s="10">
        <v>46094.684791666667</v>
      </c>
    </row>
    <row r="136" spans="1:8" x14ac:dyDescent="0.25">
      <c r="A136">
        <v>135</v>
      </c>
      <c r="B136" t="s">
        <v>260</v>
      </c>
      <c r="C136" t="s">
        <v>261</v>
      </c>
      <c r="D136">
        <v>25</v>
      </c>
      <c r="E136" t="s">
        <v>26</v>
      </c>
      <c r="F136" t="s">
        <v>20</v>
      </c>
      <c r="G136" t="s">
        <v>51</v>
      </c>
      <c r="H136" s="10">
        <v>46094.684907407405</v>
      </c>
    </row>
    <row r="137" spans="1:8" x14ac:dyDescent="0.25">
      <c r="A137">
        <v>136</v>
      </c>
      <c r="B137" t="s">
        <v>262</v>
      </c>
      <c r="C137" t="s">
        <v>263</v>
      </c>
      <c r="D137">
        <v>20</v>
      </c>
      <c r="E137" t="s">
        <v>26</v>
      </c>
      <c r="F137" t="s">
        <v>33</v>
      </c>
      <c r="G137" t="s">
        <v>114</v>
      </c>
      <c r="H137" s="10">
        <v>46094.685150462959</v>
      </c>
    </row>
    <row r="138" spans="1:8" x14ac:dyDescent="0.25">
      <c r="A138">
        <v>137</v>
      </c>
      <c r="B138" t="s">
        <v>264</v>
      </c>
      <c r="C138" t="s">
        <v>265</v>
      </c>
      <c r="D138">
        <v>22</v>
      </c>
      <c r="E138" t="s">
        <v>10</v>
      </c>
      <c r="F138" t="s">
        <v>15</v>
      </c>
      <c r="G138" t="s">
        <v>65</v>
      </c>
      <c r="H138" s="10">
        <v>46094.685543981483</v>
      </c>
    </row>
    <row r="139" spans="1:8" x14ac:dyDescent="0.25">
      <c r="A139">
        <v>138</v>
      </c>
      <c r="B139" t="s">
        <v>149</v>
      </c>
      <c r="C139" t="s">
        <v>172</v>
      </c>
      <c r="D139">
        <v>32</v>
      </c>
      <c r="E139" t="s">
        <v>26</v>
      </c>
      <c r="F139" t="s">
        <v>20</v>
      </c>
      <c r="G139" t="s">
        <v>57</v>
      </c>
      <c r="H139" s="10">
        <v>46094.685729166667</v>
      </c>
    </row>
    <row r="140" spans="1:8" x14ac:dyDescent="0.25">
      <c r="A140">
        <v>139</v>
      </c>
      <c r="B140" t="s">
        <v>151</v>
      </c>
      <c r="C140" t="s">
        <v>266</v>
      </c>
      <c r="D140">
        <v>50</v>
      </c>
      <c r="E140" t="s">
        <v>19</v>
      </c>
      <c r="F140" t="s">
        <v>11</v>
      </c>
      <c r="G140" t="s">
        <v>57</v>
      </c>
      <c r="H140" s="10">
        <v>46094.686400462961</v>
      </c>
    </row>
    <row r="141" spans="1:8" x14ac:dyDescent="0.25">
      <c r="A141">
        <v>140</v>
      </c>
      <c r="B141" t="s">
        <v>267</v>
      </c>
      <c r="C141" t="s">
        <v>262</v>
      </c>
      <c r="D141">
        <v>18</v>
      </c>
      <c r="E141" t="s">
        <v>10</v>
      </c>
      <c r="F141" t="s">
        <v>15</v>
      </c>
      <c r="G141" t="s">
        <v>133</v>
      </c>
      <c r="H141" s="10">
        <v>46094.686990740738</v>
      </c>
    </row>
    <row r="142" spans="1:8" x14ac:dyDescent="0.25">
      <c r="A142">
        <v>141</v>
      </c>
      <c r="B142" t="s">
        <v>268</v>
      </c>
      <c r="C142" t="s">
        <v>269</v>
      </c>
      <c r="D142">
        <v>61</v>
      </c>
      <c r="E142" t="s">
        <v>26</v>
      </c>
      <c r="F142" t="s">
        <v>29</v>
      </c>
      <c r="G142" t="s">
        <v>130</v>
      </c>
      <c r="H142" s="10">
        <v>46094.687615740739</v>
      </c>
    </row>
    <row r="143" spans="1:8" x14ac:dyDescent="0.25">
      <c r="A143">
        <v>142</v>
      </c>
      <c r="B143" t="s">
        <v>270</v>
      </c>
      <c r="C143" t="s">
        <v>22</v>
      </c>
      <c r="D143">
        <v>24</v>
      </c>
      <c r="E143" t="s">
        <v>19</v>
      </c>
      <c r="F143" t="s">
        <v>29</v>
      </c>
      <c r="G143" t="s">
        <v>68</v>
      </c>
      <c r="H143" s="10">
        <v>46094.688240740739</v>
      </c>
    </row>
    <row r="144" spans="1:8" x14ac:dyDescent="0.25">
      <c r="A144">
        <v>143</v>
      </c>
      <c r="B144" t="s">
        <v>84</v>
      </c>
      <c r="C144" t="s">
        <v>139</v>
      </c>
      <c r="D144">
        <v>47</v>
      </c>
      <c r="E144" t="s">
        <v>10</v>
      </c>
      <c r="F144" t="s">
        <v>29</v>
      </c>
      <c r="G144" t="s">
        <v>70</v>
      </c>
      <c r="H144" s="10">
        <v>46094.688680555555</v>
      </c>
    </row>
    <row r="145" spans="1:8" x14ac:dyDescent="0.25">
      <c r="A145">
        <v>144</v>
      </c>
      <c r="B145" t="s">
        <v>271</v>
      </c>
      <c r="C145" t="s">
        <v>272</v>
      </c>
      <c r="D145">
        <v>40</v>
      </c>
      <c r="E145" t="s">
        <v>19</v>
      </c>
      <c r="F145" t="s">
        <v>33</v>
      </c>
      <c r="G145" t="s">
        <v>16</v>
      </c>
      <c r="H145" s="10">
        <v>46094.741469907407</v>
      </c>
    </row>
    <row r="146" spans="1:8" x14ac:dyDescent="0.25">
      <c r="A146">
        <v>145</v>
      </c>
      <c r="B146" t="s">
        <v>151</v>
      </c>
      <c r="C146" t="s">
        <v>273</v>
      </c>
      <c r="D146">
        <v>23</v>
      </c>
      <c r="E146" t="s">
        <v>26</v>
      </c>
      <c r="F146" t="s">
        <v>20</v>
      </c>
      <c r="G146" t="s">
        <v>133</v>
      </c>
      <c r="H146" s="10">
        <v>46094.741898148146</v>
      </c>
    </row>
    <row r="147" spans="1:8" x14ac:dyDescent="0.25">
      <c r="A147">
        <v>146</v>
      </c>
      <c r="B147" t="s">
        <v>140</v>
      </c>
      <c r="C147" t="s">
        <v>82</v>
      </c>
      <c r="D147">
        <v>42</v>
      </c>
      <c r="E147" t="s">
        <v>10</v>
      </c>
      <c r="F147" t="s">
        <v>29</v>
      </c>
      <c r="G147" t="s">
        <v>12</v>
      </c>
      <c r="H147" s="10">
        <v>46094.742534722223</v>
      </c>
    </row>
    <row r="148" spans="1:8" x14ac:dyDescent="0.25">
      <c r="A148">
        <v>147</v>
      </c>
      <c r="B148" t="s">
        <v>268</v>
      </c>
      <c r="C148" t="s">
        <v>274</v>
      </c>
      <c r="D148">
        <v>34</v>
      </c>
      <c r="E148" t="s">
        <v>19</v>
      </c>
      <c r="F148" t="s">
        <v>33</v>
      </c>
      <c r="G148" t="s">
        <v>70</v>
      </c>
      <c r="H148" s="10">
        <v>46094.743217592593</v>
      </c>
    </row>
    <row r="149" spans="1:8" x14ac:dyDescent="0.25">
      <c r="A149">
        <v>148</v>
      </c>
      <c r="B149" t="s">
        <v>21</v>
      </c>
      <c r="C149" t="s">
        <v>275</v>
      </c>
      <c r="D149">
        <v>69</v>
      </c>
      <c r="E149" t="s">
        <v>26</v>
      </c>
      <c r="F149" t="s">
        <v>15</v>
      </c>
      <c r="G149" t="s">
        <v>36</v>
      </c>
      <c r="H149" s="10">
        <v>46094.743472222224</v>
      </c>
    </row>
    <row r="150" spans="1:8" x14ac:dyDescent="0.25">
      <c r="A150">
        <v>149</v>
      </c>
      <c r="B150" t="s">
        <v>276</v>
      </c>
      <c r="C150" t="s">
        <v>277</v>
      </c>
      <c r="D150">
        <v>62</v>
      </c>
      <c r="E150" t="s">
        <v>26</v>
      </c>
      <c r="F150" t="s">
        <v>20</v>
      </c>
      <c r="G150" t="s">
        <v>16</v>
      </c>
      <c r="H150" s="10">
        <v>46094.743645833332</v>
      </c>
    </row>
    <row r="151" spans="1:8" x14ac:dyDescent="0.25">
      <c r="A151">
        <v>150</v>
      </c>
      <c r="B151" t="s">
        <v>278</v>
      </c>
      <c r="C151" t="s">
        <v>279</v>
      </c>
      <c r="D151">
        <v>67</v>
      </c>
      <c r="E151" t="s">
        <v>26</v>
      </c>
      <c r="F151" t="s">
        <v>29</v>
      </c>
      <c r="G151" t="s">
        <v>36</v>
      </c>
      <c r="H151" s="10">
        <v>46094.743784722225</v>
      </c>
    </row>
    <row r="152" spans="1:8" x14ac:dyDescent="0.25">
      <c r="A152">
        <v>151</v>
      </c>
      <c r="B152" t="s">
        <v>280</v>
      </c>
      <c r="C152" t="s">
        <v>18</v>
      </c>
      <c r="D152">
        <v>40</v>
      </c>
      <c r="E152" t="s">
        <v>19</v>
      </c>
      <c r="F152" t="s">
        <v>45</v>
      </c>
      <c r="G152" t="s">
        <v>51</v>
      </c>
      <c r="H152" s="10">
        <v>46094.744409722225</v>
      </c>
    </row>
    <row r="153" spans="1:8" x14ac:dyDescent="0.25">
      <c r="A153">
        <v>152</v>
      </c>
      <c r="B153" t="s">
        <v>112</v>
      </c>
      <c r="C153" t="s">
        <v>281</v>
      </c>
      <c r="D153">
        <v>47</v>
      </c>
      <c r="E153" t="s">
        <v>26</v>
      </c>
      <c r="F153" t="s">
        <v>20</v>
      </c>
      <c r="G153" t="s">
        <v>130</v>
      </c>
      <c r="H153" s="10">
        <v>46094.744583333333</v>
      </c>
    </row>
    <row r="154" spans="1:8" x14ac:dyDescent="0.25">
      <c r="A154">
        <v>153</v>
      </c>
      <c r="B154" t="s">
        <v>282</v>
      </c>
      <c r="C154" t="s">
        <v>283</v>
      </c>
      <c r="D154">
        <v>57</v>
      </c>
      <c r="E154" t="s">
        <v>10</v>
      </c>
      <c r="F154" t="s">
        <v>33</v>
      </c>
      <c r="G154" t="s">
        <v>114</v>
      </c>
      <c r="H154" s="10">
        <v>46094.745219907411</v>
      </c>
    </row>
    <row r="155" spans="1:8" x14ac:dyDescent="0.25">
      <c r="A155">
        <v>154</v>
      </c>
      <c r="B155" t="s">
        <v>119</v>
      </c>
      <c r="C155" t="s">
        <v>284</v>
      </c>
      <c r="D155">
        <v>22</v>
      </c>
      <c r="E155" t="s">
        <v>10</v>
      </c>
      <c r="F155" t="s">
        <v>11</v>
      </c>
      <c r="G155" t="s">
        <v>76</v>
      </c>
      <c r="H155" s="10">
        <v>46094.745462962965</v>
      </c>
    </row>
    <row r="156" spans="1:8" x14ac:dyDescent="0.25">
      <c r="A156">
        <v>155</v>
      </c>
      <c r="B156" t="s">
        <v>140</v>
      </c>
      <c r="C156" t="s">
        <v>285</v>
      </c>
      <c r="D156">
        <v>57</v>
      </c>
      <c r="E156" t="s">
        <v>10</v>
      </c>
      <c r="F156" t="s">
        <v>20</v>
      </c>
      <c r="G156" t="s">
        <v>114</v>
      </c>
      <c r="H156" s="10">
        <v>46094.74559027778</v>
      </c>
    </row>
    <row r="157" spans="1:8" x14ac:dyDescent="0.25">
      <c r="A157">
        <v>156</v>
      </c>
      <c r="B157" t="s">
        <v>220</v>
      </c>
      <c r="C157" t="s">
        <v>286</v>
      </c>
      <c r="D157">
        <v>43</v>
      </c>
      <c r="E157" t="s">
        <v>10</v>
      </c>
      <c r="F157" t="s">
        <v>29</v>
      </c>
      <c r="G157" t="s">
        <v>80</v>
      </c>
      <c r="H157" s="10">
        <v>46094.746064814812</v>
      </c>
    </row>
    <row r="158" spans="1:8" x14ac:dyDescent="0.25">
      <c r="A158">
        <v>157</v>
      </c>
      <c r="B158" t="s">
        <v>287</v>
      </c>
      <c r="C158" t="s">
        <v>288</v>
      </c>
      <c r="D158">
        <v>63</v>
      </c>
      <c r="E158" t="s">
        <v>26</v>
      </c>
      <c r="F158" t="s">
        <v>45</v>
      </c>
      <c r="G158" t="s">
        <v>12</v>
      </c>
      <c r="H158" s="10">
        <v>46094.74658564815</v>
      </c>
    </row>
    <row r="159" spans="1:8" x14ac:dyDescent="0.25">
      <c r="A159">
        <v>158</v>
      </c>
      <c r="B159" t="s">
        <v>175</v>
      </c>
      <c r="C159" t="s">
        <v>289</v>
      </c>
      <c r="D159">
        <v>21</v>
      </c>
      <c r="E159" t="s">
        <v>19</v>
      </c>
      <c r="F159" t="s">
        <v>73</v>
      </c>
      <c r="G159" t="s">
        <v>76</v>
      </c>
      <c r="H159" s="10">
        <v>46094.746770833335</v>
      </c>
    </row>
    <row r="160" spans="1:8" x14ac:dyDescent="0.25">
      <c r="A160">
        <v>159</v>
      </c>
      <c r="B160" t="s">
        <v>290</v>
      </c>
      <c r="C160" t="s">
        <v>291</v>
      </c>
      <c r="D160">
        <v>20</v>
      </c>
      <c r="E160" t="s">
        <v>26</v>
      </c>
      <c r="F160" t="s">
        <v>15</v>
      </c>
      <c r="G160" t="s">
        <v>80</v>
      </c>
      <c r="H160" s="10">
        <v>46094.747083333335</v>
      </c>
    </row>
    <row r="161" spans="1:8" x14ac:dyDescent="0.25">
      <c r="A161">
        <v>160</v>
      </c>
      <c r="B161" t="s">
        <v>292</v>
      </c>
      <c r="C161" t="s">
        <v>293</v>
      </c>
      <c r="D161">
        <v>31</v>
      </c>
      <c r="E161" t="s">
        <v>26</v>
      </c>
      <c r="F161" t="s">
        <v>33</v>
      </c>
      <c r="G161" t="s">
        <v>54</v>
      </c>
      <c r="H161" s="10">
        <v>46094.74722222222</v>
      </c>
    </row>
    <row r="162" spans="1:8" x14ac:dyDescent="0.25">
      <c r="A162">
        <v>161</v>
      </c>
      <c r="B162" t="s">
        <v>294</v>
      </c>
      <c r="C162" t="s">
        <v>295</v>
      </c>
      <c r="D162">
        <v>36</v>
      </c>
      <c r="E162" t="s">
        <v>26</v>
      </c>
      <c r="F162" t="s">
        <v>29</v>
      </c>
      <c r="G162" t="s">
        <v>70</v>
      </c>
      <c r="H162" s="10">
        <v>46094.747685185182</v>
      </c>
    </row>
    <row r="163" spans="1:8" x14ac:dyDescent="0.25">
      <c r="A163">
        <v>162</v>
      </c>
      <c r="B163" t="s">
        <v>296</v>
      </c>
      <c r="C163" t="s">
        <v>297</v>
      </c>
      <c r="D163">
        <v>23</v>
      </c>
      <c r="E163" t="s">
        <v>10</v>
      </c>
      <c r="F163" t="s">
        <v>33</v>
      </c>
      <c r="G163" t="s">
        <v>12</v>
      </c>
      <c r="H163" s="10">
        <v>46094.747939814813</v>
      </c>
    </row>
    <row r="164" spans="1:8" x14ac:dyDescent="0.25">
      <c r="A164">
        <v>163</v>
      </c>
      <c r="B164" t="s">
        <v>125</v>
      </c>
      <c r="C164" t="s">
        <v>298</v>
      </c>
      <c r="D164">
        <v>42</v>
      </c>
      <c r="E164" t="s">
        <v>26</v>
      </c>
      <c r="F164" t="s">
        <v>15</v>
      </c>
      <c r="G164" t="s">
        <v>12</v>
      </c>
      <c r="H164" s="10">
        <v>46094.748310185183</v>
      </c>
    </row>
    <row r="165" spans="1:8" x14ac:dyDescent="0.25">
      <c r="A165">
        <v>164</v>
      </c>
      <c r="B165" t="s">
        <v>43</v>
      </c>
      <c r="C165" t="s">
        <v>244</v>
      </c>
      <c r="D165">
        <v>22</v>
      </c>
      <c r="E165" t="s">
        <v>10</v>
      </c>
      <c r="F165" t="s">
        <v>33</v>
      </c>
      <c r="G165" t="s">
        <v>39</v>
      </c>
      <c r="H165" s="10">
        <v>46094.748599537037</v>
      </c>
    </row>
    <row r="166" spans="1:8" x14ac:dyDescent="0.25">
      <c r="A166">
        <v>165</v>
      </c>
      <c r="B166" t="s">
        <v>194</v>
      </c>
      <c r="C166" t="s">
        <v>194</v>
      </c>
      <c r="D166">
        <v>49</v>
      </c>
      <c r="E166" t="s">
        <v>19</v>
      </c>
      <c r="F166" t="s">
        <v>33</v>
      </c>
      <c r="G166" t="s">
        <v>54</v>
      </c>
      <c r="H166" s="10">
        <v>46094.749236111114</v>
      </c>
    </row>
    <row r="167" spans="1:8" x14ac:dyDescent="0.25">
      <c r="A167">
        <v>166</v>
      </c>
      <c r="B167" t="s">
        <v>97</v>
      </c>
      <c r="C167" t="s">
        <v>299</v>
      </c>
      <c r="D167">
        <v>41</v>
      </c>
      <c r="E167" t="s">
        <v>10</v>
      </c>
      <c r="F167" t="s">
        <v>20</v>
      </c>
      <c r="G167" t="s">
        <v>80</v>
      </c>
      <c r="H167" s="10">
        <v>46094.749722222223</v>
      </c>
    </row>
    <row r="168" spans="1:8" x14ac:dyDescent="0.25">
      <c r="A168">
        <v>167</v>
      </c>
      <c r="B168" t="s">
        <v>296</v>
      </c>
      <c r="C168" t="s">
        <v>241</v>
      </c>
      <c r="D168">
        <v>38</v>
      </c>
      <c r="E168" t="s">
        <v>10</v>
      </c>
      <c r="F168" t="s">
        <v>29</v>
      </c>
      <c r="G168" t="s">
        <v>51</v>
      </c>
      <c r="H168" s="10">
        <v>46094.75037037037</v>
      </c>
    </row>
    <row r="169" spans="1:8" x14ac:dyDescent="0.25">
      <c r="A169">
        <v>168</v>
      </c>
      <c r="B169" t="s">
        <v>112</v>
      </c>
      <c r="C169" t="s">
        <v>137</v>
      </c>
      <c r="D169">
        <v>39</v>
      </c>
      <c r="E169" t="s">
        <v>10</v>
      </c>
      <c r="F169" t="s">
        <v>45</v>
      </c>
      <c r="G169" t="s">
        <v>46</v>
      </c>
      <c r="H169" s="10">
        <v>46094.750625000001</v>
      </c>
    </row>
    <row r="170" spans="1:8" x14ac:dyDescent="0.25">
      <c r="A170">
        <v>169</v>
      </c>
      <c r="B170" t="s">
        <v>300</v>
      </c>
      <c r="C170" t="s">
        <v>301</v>
      </c>
      <c r="D170">
        <v>61</v>
      </c>
      <c r="E170" t="s">
        <v>26</v>
      </c>
      <c r="F170" t="s">
        <v>45</v>
      </c>
      <c r="G170" t="s">
        <v>23</v>
      </c>
      <c r="H170" s="10">
        <v>46094.750763888886</v>
      </c>
    </row>
    <row r="171" spans="1:8" x14ac:dyDescent="0.25">
      <c r="A171">
        <v>170</v>
      </c>
      <c r="B171" t="s">
        <v>302</v>
      </c>
      <c r="C171" t="s">
        <v>185</v>
      </c>
      <c r="D171">
        <v>25</v>
      </c>
      <c r="E171" t="s">
        <v>26</v>
      </c>
      <c r="F171" t="s">
        <v>73</v>
      </c>
      <c r="G171" t="s">
        <v>51</v>
      </c>
      <c r="H171" s="10">
        <v>46094.751354166663</v>
      </c>
    </row>
    <row r="172" spans="1:8" x14ac:dyDescent="0.25">
      <c r="A172">
        <v>171</v>
      </c>
      <c r="B172" t="s">
        <v>268</v>
      </c>
      <c r="C172" t="s">
        <v>303</v>
      </c>
      <c r="D172">
        <v>41</v>
      </c>
      <c r="E172" t="s">
        <v>19</v>
      </c>
      <c r="F172" t="s">
        <v>29</v>
      </c>
      <c r="G172" t="s">
        <v>133</v>
      </c>
      <c r="H172" s="10">
        <v>46094.751759259256</v>
      </c>
    </row>
    <row r="173" spans="1:8" x14ac:dyDescent="0.25">
      <c r="A173">
        <v>172</v>
      </c>
      <c r="B173" t="s">
        <v>178</v>
      </c>
      <c r="C173" t="s">
        <v>304</v>
      </c>
      <c r="D173">
        <v>61</v>
      </c>
      <c r="E173" t="s">
        <v>10</v>
      </c>
      <c r="F173" t="s">
        <v>45</v>
      </c>
      <c r="G173" t="s">
        <v>99</v>
      </c>
      <c r="H173" s="10">
        <v>46094.752199074072</v>
      </c>
    </row>
    <row r="174" spans="1:8" x14ac:dyDescent="0.25">
      <c r="A174">
        <v>173</v>
      </c>
      <c r="B174" t="s">
        <v>305</v>
      </c>
      <c r="C174" t="s">
        <v>306</v>
      </c>
      <c r="D174">
        <v>40</v>
      </c>
      <c r="E174" t="s">
        <v>26</v>
      </c>
      <c r="F174" t="s">
        <v>45</v>
      </c>
      <c r="G174" t="s">
        <v>16</v>
      </c>
      <c r="H174" s="10">
        <v>46094.752442129633</v>
      </c>
    </row>
    <row r="175" spans="1:8" x14ac:dyDescent="0.25">
      <c r="A175">
        <v>174</v>
      </c>
      <c r="B175" t="s">
        <v>62</v>
      </c>
      <c r="C175" t="s">
        <v>307</v>
      </c>
      <c r="D175">
        <v>28</v>
      </c>
      <c r="E175" t="s">
        <v>10</v>
      </c>
      <c r="F175" t="s">
        <v>45</v>
      </c>
      <c r="G175" t="s">
        <v>99</v>
      </c>
      <c r="H175" s="10">
        <v>46094.752708333333</v>
      </c>
    </row>
    <row r="176" spans="1:8" x14ac:dyDescent="0.25">
      <c r="A176">
        <v>175</v>
      </c>
      <c r="B176" t="s">
        <v>13</v>
      </c>
      <c r="C176" t="s">
        <v>308</v>
      </c>
      <c r="D176">
        <v>55</v>
      </c>
      <c r="E176" t="s">
        <v>26</v>
      </c>
      <c r="F176" t="s">
        <v>20</v>
      </c>
      <c r="G176" t="s">
        <v>80</v>
      </c>
      <c r="H176" s="10">
        <v>46094.752881944441</v>
      </c>
    </row>
    <row r="177" spans="1:8" x14ac:dyDescent="0.25">
      <c r="A177">
        <v>176</v>
      </c>
      <c r="B177" t="s">
        <v>34</v>
      </c>
      <c r="C177" t="s">
        <v>309</v>
      </c>
      <c r="D177">
        <v>37</v>
      </c>
      <c r="E177" t="s">
        <v>10</v>
      </c>
      <c r="F177" t="s">
        <v>11</v>
      </c>
      <c r="G177" t="s">
        <v>12</v>
      </c>
      <c r="H177" s="10">
        <v>46094.753425925926</v>
      </c>
    </row>
    <row r="178" spans="1:8" x14ac:dyDescent="0.25">
      <c r="A178">
        <v>177</v>
      </c>
      <c r="B178" t="s">
        <v>125</v>
      </c>
      <c r="C178" t="s">
        <v>310</v>
      </c>
      <c r="D178">
        <v>21</v>
      </c>
      <c r="E178" t="s">
        <v>26</v>
      </c>
      <c r="F178" t="s">
        <v>15</v>
      </c>
      <c r="G178" t="s">
        <v>23</v>
      </c>
      <c r="H178" s="10">
        <v>46094.753680555557</v>
      </c>
    </row>
    <row r="179" spans="1:8" x14ac:dyDescent="0.25">
      <c r="A179">
        <v>178</v>
      </c>
      <c r="B179" t="s">
        <v>311</v>
      </c>
      <c r="C179" t="s">
        <v>312</v>
      </c>
      <c r="D179">
        <v>67</v>
      </c>
      <c r="E179" t="s">
        <v>26</v>
      </c>
      <c r="F179" t="s">
        <v>11</v>
      </c>
      <c r="G179" t="s">
        <v>54</v>
      </c>
      <c r="H179" s="10">
        <v>46094.754374999997</v>
      </c>
    </row>
    <row r="180" spans="1:8" x14ac:dyDescent="0.25">
      <c r="A180">
        <v>179</v>
      </c>
      <c r="B180" t="s">
        <v>206</v>
      </c>
      <c r="C180" t="s">
        <v>128</v>
      </c>
      <c r="D180">
        <v>67</v>
      </c>
      <c r="E180" t="s">
        <v>19</v>
      </c>
      <c r="F180" t="s">
        <v>15</v>
      </c>
      <c r="G180" t="s">
        <v>130</v>
      </c>
      <c r="H180" s="10">
        <v>46094.754930555559</v>
      </c>
    </row>
    <row r="181" spans="1:8" x14ac:dyDescent="0.25">
      <c r="A181">
        <v>180</v>
      </c>
      <c r="B181" t="s">
        <v>92</v>
      </c>
      <c r="C181" t="s">
        <v>313</v>
      </c>
      <c r="D181">
        <v>38</v>
      </c>
      <c r="E181" t="s">
        <v>26</v>
      </c>
      <c r="F181" t="s">
        <v>29</v>
      </c>
      <c r="G181" t="s">
        <v>16</v>
      </c>
      <c r="H181" s="10">
        <v>46094.755219907405</v>
      </c>
    </row>
    <row r="182" spans="1:8" x14ac:dyDescent="0.25">
      <c r="A182">
        <v>181</v>
      </c>
      <c r="B182" t="s">
        <v>314</v>
      </c>
      <c r="C182" t="s">
        <v>237</v>
      </c>
      <c r="D182">
        <v>53</v>
      </c>
      <c r="E182" t="s">
        <v>10</v>
      </c>
      <c r="F182" t="s">
        <v>45</v>
      </c>
      <c r="G182" t="s">
        <v>130</v>
      </c>
      <c r="H182" s="10">
        <v>46094.755682870367</v>
      </c>
    </row>
    <row r="183" spans="1:8" x14ac:dyDescent="0.25">
      <c r="A183">
        <v>182</v>
      </c>
      <c r="B183" t="s">
        <v>315</v>
      </c>
      <c r="C183" t="s">
        <v>237</v>
      </c>
      <c r="D183">
        <v>63</v>
      </c>
      <c r="E183" t="s">
        <v>19</v>
      </c>
      <c r="F183" t="s">
        <v>73</v>
      </c>
      <c r="G183" t="s">
        <v>99</v>
      </c>
      <c r="H183" s="10">
        <v>46094.756122685183</v>
      </c>
    </row>
    <row r="184" spans="1:8" x14ac:dyDescent="0.25">
      <c r="A184">
        <v>183</v>
      </c>
      <c r="B184" t="s">
        <v>125</v>
      </c>
      <c r="C184" t="s">
        <v>316</v>
      </c>
      <c r="D184">
        <v>49</v>
      </c>
      <c r="E184" t="s">
        <v>19</v>
      </c>
      <c r="F184" t="s">
        <v>20</v>
      </c>
      <c r="G184" t="s">
        <v>46</v>
      </c>
      <c r="H184" s="10">
        <v>46094.75675925926</v>
      </c>
    </row>
    <row r="185" spans="1:8" x14ac:dyDescent="0.25">
      <c r="A185">
        <v>184</v>
      </c>
      <c r="B185" t="s">
        <v>134</v>
      </c>
      <c r="C185" t="s">
        <v>317</v>
      </c>
      <c r="D185">
        <v>40</v>
      </c>
      <c r="E185" t="s">
        <v>19</v>
      </c>
      <c r="F185" t="s">
        <v>73</v>
      </c>
      <c r="G185" t="s">
        <v>51</v>
      </c>
      <c r="H185" s="10">
        <v>46094.757106481484</v>
      </c>
    </row>
    <row r="186" spans="1:8" x14ac:dyDescent="0.25">
      <c r="A186">
        <v>185</v>
      </c>
      <c r="B186" t="s">
        <v>318</v>
      </c>
      <c r="C186" t="s">
        <v>139</v>
      </c>
      <c r="D186">
        <v>67</v>
      </c>
      <c r="E186" t="s">
        <v>26</v>
      </c>
      <c r="F186" t="s">
        <v>20</v>
      </c>
      <c r="G186" t="s">
        <v>99</v>
      </c>
      <c r="H186" s="10">
        <v>46094.757430555554</v>
      </c>
    </row>
    <row r="187" spans="1:8" x14ac:dyDescent="0.25">
      <c r="A187">
        <v>186</v>
      </c>
      <c r="B187" t="s">
        <v>151</v>
      </c>
      <c r="C187" t="s">
        <v>319</v>
      </c>
      <c r="D187">
        <v>62</v>
      </c>
      <c r="E187" t="s">
        <v>10</v>
      </c>
      <c r="F187" t="s">
        <v>20</v>
      </c>
      <c r="G187" t="s">
        <v>99</v>
      </c>
      <c r="H187" s="10">
        <v>46094.757974537039</v>
      </c>
    </row>
    <row r="188" spans="1:8" x14ac:dyDescent="0.25">
      <c r="A188">
        <v>187</v>
      </c>
      <c r="B188" t="s">
        <v>320</v>
      </c>
      <c r="C188" t="s">
        <v>262</v>
      </c>
      <c r="D188">
        <v>61</v>
      </c>
      <c r="E188" t="s">
        <v>26</v>
      </c>
      <c r="F188" t="s">
        <v>33</v>
      </c>
      <c r="G188" t="s">
        <v>133</v>
      </c>
      <c r="H188" s="10">
        <v>46094.758402777778</v>
      </c>
    </row>
    <row r="189" spans="1:8" x14ac:dyDescent="0.25">
      <c r="A189">
        <v>188</v>
      </c>
      <c r="B189" t="s">
        <v>321</v>
      </c>
      <c r="C189" t="s">
        <v>322</v>
      </c>
      <c r="D189">
        <v>42</v>
      </c>
      <c r="E189" t="s">
        <v>26</v>
      </c>
      <c r="F189" t="s">
        <v>33</v>
      </c>
      <c r="G189" t="s">
        <v>133</v>
      </c>
      <c r="H189" s="10">
        <v>46094.758842592593</v>
      </c>
    </row>
    <row r="190" spans="1:8" x14ac:dyDescent="0.25">
      <c r="A190">
        <v>189</v>
      </c>
      <c r="B190" t="s">
        <v>58</v>
      </c>
      <c r="C190" t="s">
        <v>148</v>
      </c>
      <c r="D190">
        <v>43</v>
      </c>
      <c r="E190" t="s">
        <v>10</v>
      </c>
      <c r="F190" t="s">
        <v>15</v>
      </c>
      <c r="G190" t="s">
        <v>36</v>
      </c>
      <c r="H190" s="10">
        <v>46094.75953703704</v>
      </c>
    </row>
    <row r="191" spans="1:8" x14ac:dyDescent="0.25">
      <c r="A191">
        <v>190</v>
      </c>
      <c r="B191" t="s">
        <v>315</v>
      </c>
      <c r="C191" t="s">
        <v>323</v>
      </c>
      <c r="D191">
        <v>31</v>
      </c>
      <c r="E191" t="s">
        <v>19</v>
      </c>
      <c r="F191" t="s">
        <v>45</v>
      </c>
      <c r="G191" t="s">
        <v>130</v>
      </c>
      <c r="H191" s="10">
        <v>46094.76021990741</v>
      </c>
    </row>
    <row r="192" spans="1:8" x14ac:dyDescent="0.25">
      <c r="A192">
        <v>191</v>
      </c>
      <c r="B192" t="s">
        <v>278</v>
      </c>
      <c r="C192" t="s">
        <v>324</v>
      </c>
      <c r="D192">
        <v>33</v>
      </c>
      <c r="E192" t="s">
        <v>10</v>
      </c>
      <c r="F192" t="s">
        <v>29</v>
      </c>
      <c r="G192" t="s">
        <v>76</v>
      </c>
      <c r="H192" s="10">
        <v>46094.760358796295</v>
      </c>
    </row>
    <row r="193" spans="1:8" x14ac:dyDescent="0.25">
      <c r="A193">
        <v>192</v>
      </c>
      <c r="B193" t="s">
        <v>325</v>
      </c>
      <c r="C193" t="s">
        <v>326</v>
      </c>
      <c r="D193">
        <v>61</v>
      </c>
      <c r="E193" t="s">
        <v>26</v>
      </c>
      <c r="F193" t="s">
        <v>29</v>
      </c>
      <c r="G193" t="s">
        <v>65</v>
      </c>
      <c r="H193" s="10">
        <v>46094.760798611111</v>
      </c>
    </row>
    <row r="194" spans="1:8" x14ac:dyDescent="0.25">
      <c r="A194">
        <v>193</v>
      </c>
      <c r="B194" t="s">
        <v>97</v>
      </c>
      <c r="C194" t="s">
        <v>327</v>
      </c>
      <c r="D194">
        <v>65</v>
      </c>
      <c r="E194" t="s">
        <v>19</v>
      </c>
      <c r="F194" t="s">
        <v>20</v>
      </c>
      <c r="G194" t="s">
        <v>54</v>
      </c>
      <c r="H194" s="10">
        <v>46094.761493055557</v>
      </c>
    </row>
    <row r="195" spans="1:8" x14ac:dyDescent="0.25">
      <c r="A195">
        <v>194</v>
      </c>
      <c r="B195" t="s">
        <v>240</v>
      </c>
      <c r="C195" t="s">
        <v>328</v>
      </c>
      <c r="D195">
        <v>60</v>
      </c>
      <c r="E195" t="s">
        <v>26</v>
      </c>
      <c r="F195" t="s">
        <v>11</v>
      </c>
      <c r="G195" t="s">
        <v>68</v>
      </c>
      <c r="H195" s="10">
        <v>46094.761724537035</v>
      </c>
    </row>
    <row r="196" spans="1:8" x14ac:dyDescent="0.25">
      <c r="A196">
        <v>195</v>
      </c>
      <c r="B196" t="s">
        <v>151</v>
      </c>
      <c r="C196" t="s">
        <v>329</v>
      </c>
      <c r="D196">
        <v>65</v>
      </c>
      <c r="E196" t="s">
        <v>19</v>
      </c>
      <c r="F196" t="s">
        <v>15</v>
      </c>
      <c r="G196" t="s">
        <v>16</v>
      </c>
      <c r="H196" s="10">
        <v>46094.761944444443</v>
      </c>
    </row>
    <row r="197" spans="1:8" x14ac:dyDescent="0.25">
      <c r="A197">
        <v>196</v>
      </c>
      <c r="B197" t="s">
        <v>314</v>
      </c>
      <c r="C197" t="s">
        <v>330</v>
      </c>
      <c r="D197">
        <v>59</v>
      </c>
      <c r="E197" t="s">
        <v>10</v>
      </c>
      <c r="F197" t="s">
        <v>20</v>
      </c>
      <c r="G197" t="s">
        <v>57</v>
      </c>
      <c r="H197" s="10">
        <v>46094.762569444443</v>
      </c>
    </row>
    <row r="198" spans="1:8" x14ac:dyDescent="0.25">
      <c r="A198">
        <v>197</v>
      </c>
      <c r="B198" t="s">
        <v>331</v>
      </c>
      <c r="C198" t="s">
        <v>332</v>
      </c>
      <c r="D198">
        <v>64</v>
      </c>
      <c r="E198" t="s">
        <v>10</v>
      </c>
      <c r="F198" t="s">
        <v>73</v>
      </c>
      <c r="G198" t="s">
        <v>65</v>
      </c>
      <c r="H198" s="10">
        <v>46094.762986111113</v>
      </c>
    </row>
    <row r="199" spans="1:8" x14ac:dyDescent="0.25">
      <c r="A199">
        <v>198</v>
      </c>
      <c r="B199" t="s">
        <v>131</v>
      </c>
      <c r="C199" t="s">
        <v>333</v>
      </c>
      <c r="D199">
        <v>65</v>
      </c>
      <c r="E199" t="s">
        <v>10</v>
      </c>
      <c r="F199" t="s">
        <v>29</v>
      </c>
      <c r="G199" t="s">
        <v>76</v>
      </c>
      <c r="H199" s="10">
        <v>46094.763657407406</v>
      </c>
    </row>
    <row r="200" spans="1:8" x14ac:dyDescent="0.25">
      <c r="A200">
        <v>199</v>
      </c>
      <c r="B200" t="s">
        <v>268</v>
      </c>
      <c r="C200" t="s">
        <v>334</v>
      </c>
      <c r="D200">
        <v>59</v>
      </c>
      <c r="E200" t="s">
        <v>19</v>
      </c>
      <c r="F200" t="s">
        <v>73</v>
      </c>
      <c r="G200" t="s">
        <v>133</v>
      </c>
      <c r="H200" s="10">
        <v>46094.763865740744</v>
      </c>
    </row>
    <row r="201" spans="1:8" x14ac:dyDescent="0.25">
      <c r="A201">
        <v>200</v>
      </c>
      <c r="B201" t="s">
        <v>140</v>
      </c>
      <c r="C201" t="s">
        <v>335</v>
      </c>
      <c r="D201">
        <v>41</v>
      </c>
      <c r="E201" t="s">
        <v>19</v>
      </c>
      <c r="F201" t="s">
        <v>45</v>
      </c>
      <c r="G201" t="s">
        <v>39</v>
      </c>
      <c r="H201" s="10">
        <v>46094.764490740738</v>
      </c>
    </row>
    <row r="202" spans="1:8" x14ac:dyDescent="0.25">
      <c r="A202">
        <v>208</v>
      </c>
      <c r="B202" t="s">
        <v>78</v>
      </c>
      <c r="C202" t="s">
        <v>126</v>
      </c>
      <c r="D202">
        <v>67</v>
      </c>
      <c r="E202" t="s">
        <v>19</v>
      </c>
      <c r="F202" t="s">
        <v>73</v>
      </c>
      <c r="G202" t="s">
        <v>99</v>
      </c>
      <c r="H202" s="10">
        <v>46095.65828703704</v>
      </c>
    </row>
    <row r="203" spans="1:8" x14ac:dyDescent="0.25">
      <c r="A203">
        <v>209</v>
      </c>
      <c r="B203" t="s">
        <v>17</v>
      </c>
      <c r="C203" t="s">
        <v>89</v>
      </c>
      <c r="D203">
        <v>35</v>
      </c>
      <c r="E203" t="s">
        <v>19</v>
      </c>
      <c r="F203" t="s">
        <v>73</v>
      </c>
      <c r="G203" t="s">
        <v>114</v>
      </c>
      <c r="H203" s="10">
        <v>46095.658553240741</v>
      </c>
    </row>
    <row r="204" spans="1:8" x14ac:dyDescent="0.25">
      <c r="A204">
        <v>210</v>
      </c>
      <c r="B204" t="s">
        <v>340</v>
      </c>
      <c r="C204" t="s">
        <v>91</v>
      </c>
      <c r="D204">
        <v>20</v>
      </c>
      <c r="E204" t="s">
        <v>10</v>
      </c>
      <c r="F204" t="s">
        <v>33</v>
      </c>
      <c r="G204" t="s">
        <v>80</v>
      </c>
      <c r="H204" s="10">
        <v>46095.658738425926</v>
      </c>
    </row>
    <row r="205" spans="1:8" x14ac:dyDescent="0.25">
      <c r="A205">
        <v>211</v>
      </c>
      <c r="B205" t="s">
        <v>341</v>
      </c>
      <c r="C205" t="s">
        <v>75</v>
      </c>
      <c r="D205">
        <v>37</v>
      </c>
      <c r="E205" t="s">
        <v>19</v>
      </c>
      <c r="F205" t="s">
        <v>45</v>
      </c>
      <c r="G205" t="s">
        <v>12</v>
      </c>
      <c r="H205" s="10">
        <v>46095.65892361111</v>
      </c>
    </row>
    <row r="206" spans="1:8" x14ac:dyDescent="0.25">
      <c r="A206">
        <v>212</v>
      </c>
      <c r="B206" t="s">
        <v>62</v>
      </c>
      <c r="C206" t="s">
        <v>237</v>
      </c>
      <c r="D206">
        <v>53</v>
      </c>
      <c r="E206" t="s">
        <v>26</v>
      </c>
      <c r="F206" t="s">
        <v>73</v>
      </c>
      <c r="G206" t="s">
        <v>16</v>
      </c>
      <c r="H206" s="10">
        <v>46095.659525462965</v>
      </c>
    </row>
    <row r="207" spans="1:8" x14ac:dyDescent="0.25">
      <c r="A207">
        <v>213</v>
      </c>
      <c r="B207" t="s">
        <v>81</v>
      </c>
      <c r="C207" t="s">
        <v>264</v>
      </c>
      <c r="D207">
        <v>55</v>
      </c>
      <c r="E207" t="s">
        <v>19</v>
      </c>
      <c r="F207" t="s">
        <v>15</v>
      </c>
      <c r="G207" t="s">
        <v>70</v>
      </c>
      <c r="H207" s="10">
        <v>46095.660219907404</v>
      </c>
    </row>
    <row r="208" spans="1:8" x14ac:dyDescent="0.25">
      <c r="A208">
        <v>214</v>
      </c>
      <c r="B208" t="s">
        <v>254</v>
      </c>
      <c r="C208" t="s">
        <v>82</v>
      </c>
      <c r="D208">
        <v>46</v>
      </c>
      <c r="E208" t="s">
        <v>19</v>
      </c>
      <c r="F208" t="s">
        <v>11</v>
      </c>
      <c r="G208" t="s">
        <v>80</v>
      </c>
      <c r="H208" s="10">
        <v>46095.660613425927</v>
      </c>
    </row>
    <row r="209" spans="1:8" x14ac:dyDescent="0.25">
      <c r="A209">
        <v>215</v>
      </c>
      <c r="B209" t="s">
        <v>343</v>
      </c>
      <c r="C209" t="s">
        <v>139</v>
      </c>
      <c r="D209">
        <v>52</v>
      </c>
      <c r="E209" t="s">
        <v>19</v>
      </c>
      <c r="F209" t="s">
        <v>15</v>
      </c>
      <c r="G209" t="s">
        <v>68</v>
      </c>
      <c r="H209" s="10">
        <v>46095.661203703705</v>
      </c>
    </row>
    <row r="210" spans="1:8" x14ac:dyDescent="0.25">
      <c r="A210">
        <v>216</v>
      </c>
      <c r="B210" t="s">
        <v>344</v>
      </c>
      <c r="C210" t="s">
        <v>345</v>
      </c>
      <c r="D210">
        <v>40</v>
      </c>
      <c r="E210" t="s">
        <v>26</v>
      </c>
      <c r="F210" t="s">
        <v>20</v>
      </c>
      <c r="G210" t="s">
        <v>76</v>
      </c>
      <c r="H210" s="10">
        <v>46095.661365740743</v>
      </c>
    </row>
    <row r="211" spans="1:8" x14ac:dyDescent="0.25">
      <c r="A211">
        <v>217</v>
      </c>
      <c r="B211" t="s">
        <v>119</v>
      </c>
      <c r="C211" t="s">
        <v>346</v>
      </c>
      <c r="D211">
        <v>28</v>
      </c>
      <c r="E211" t="s">
        <v>26</v>
      </c>
      <c r="F211" t="s">
        <v>33</v>
      </c>
      <c r="G211" t="s">
        <v>57</v>
      </c>
      <c r="H211" s="10">
        <v>46095.661817129629</v>
      </c>
    </row>
    <row r="212" spans="1:8" x14ac:dyDescent="0.25">
      <c r="A212">
        <v>218</v>
      </c>
      <c r="B212" t="s">
        <v>153</v>
      </c>
      <c r="C212" t="s">
        <v>347</v>
      </c>
      <c r="D212">
        <v>42</v>
      </c>
      <c r="E212" t="s">
        <v>19</v>
      </c>
      <c r="F212" t="s">
        <v>11</v>
      </c>
      <c r="G212" t="s">
        <v>42</v>
      </c>
      <c r="H212" s="10">
        <v>46095.662326388891</v>
      </c>
    </row>
    <row r="213" spans="1:8" x14ac:dyDescent="0.25">
      <c r="A213">
        <v>219</v>
      </c>
      <c r="B213" t="s">
        <v>112</v>
      </c>
      <c r="C213" t="s">
        <v>348</v>
      </c>
      <c r="D213">
        <v>26</v>
      </c>
      <c r="E213" t="s">
        <v>10</v>
      </c>
      <c r="F213" t="s">
        <v>15</v>
      </c>
      <c r="G213" t="s">
        <v>65</v>
      </c>
      <c r="H213" s="10">
        <v>46095.662719907406</v>
      </c>
    </row>
    <row r="214" spans="1:8" x14ac:dyDescent="0.25">
      <c r="A214">
        <v>220</v>
      </c>
      <c r="B214" t="s">
        <v>349</v>
      </c>
      <c r="C214" t="s">
        <v>75</v>
      </c>
      <c r="D214">
        <v>56</v>
      </c>
      <c r="E214" t="s">
        <v>10</v>
      </c>
      <c r="F214" t="s">
        <v>45</v>
      </c>
      <c r="G214" t="s">
        <v>46</v>
      </c>
      <c r="H214" s="10">
        <v>46095.663263888891</v>
      </c>
    </row>
    <row r="215" spans="1:8" x14ac:dyDescent="0.25">
      <c r="A215">
        <v>221</v>
      </c>
      <c r="B215" t="s">
        <v>350</v>
      </c>
      <c r="C215" t="s">
        <v>113</v>
      </c>
      <c r="D215">
        <v>48</v>
      </c>
      <c r="E215" t="s">
        <v>10</v>
      </c>
      <c r="F215" t="s">
        <v>45</v>
      </c>
      <c r="G215" t="s">
        <v>65</v>
      </c>
      <c r="H215" s="10">
        <v>46095.663923611108</v>
      </c>
    </row>
    <row r="216" spans="1:8" x14ac:dyDescent="0.25">
      <c r="A216">
        <v>222</v>
      </c>
      <c r="B216" t="s">
        <v>351</v>
      </c>
      <c r="C216" t="s">
        <v>352</v>
      </c>
      <c r="D216">
        <v>35</v>
      </c>
      <c r="E216" t="s">
        <v>26</v>
      </c>
      <c r="F216" t="s">
        <v>29</v>
      </c>
      <c r="G216" t="s">
        <v>12</v>
      </c>
      <c r="H216" s="10">
        <v>46095.664293981485</v>
      </c>
    </row>
    <row r="217" spans="1:8" x14ac:dyDescent="0.25">
      <c r="A217">
        <v>223</v>
      </c>
      <c r="B217" t="s">
        <v>353</v>
      </c>
      <c r="C217" t="s">
        <v>18</v>
      </c>
      <c r="D217">
        <v>46</v>
      </c>
      <c r="E217" t="s">
        <v>10</v>
      </c>
      <c r="F217" t="s">
        <v>15</v>
      </c>
      <c r="G217" t="s">
        <v>70</v>
      </c>
      <c r="H217" s="10">
        <v>46095.664409722223</v>
      </c>
    </row>
    <row r="218" spans="1:8" x14ac:dyDescent="0.25">
      <c r="A218">
        <v>224</v>
      </c>
      <c r="B218" t="s">
        <v>354</v>
      </c>
      <c r="C218" t="s">
        <v>244</v>
      </c>
      <c r="D218">
        <v>65</v>
      </c>
      <c r="E218" t="s">
        <v>26</v>
      </c>
      <c r="F218" t="s">
        <v>11</v>
      </c>
      <c r="G218" t="s">
        <v>76</v>
      </c>
      <c r="H218" s="10">
        <v>46095.664826388886</v>
      </c>
    </row>
    <row r="219" spans="1:8" x14ac:dyDescent="0.25">
      <c r="A219">
        <v>225</v>
      </c>
      <c r="B219" t="s">
        <v>355</v>
      </c>
      <c r="C219" t="s">
        <v>356</v>
      </c>
      <c r="D219">
        <v>35</v>
      </c>
      <c r="E219" t="s">
        <v>19</v>
      </c>
      <c r="F219" t="s">
        <v>15</v>
      </c>
      <c r="G219" t="s">
        <v>46</v>
      </c>
      <c r="H219" s="10">
        <v>46095.66542824074</v>
      </c>
    </row>
    <row r="220" spans="1:8" x14ac:dyDescent="0.25">
      <c r="A220">
        <v>226</v>
      </c>
      <c r="B220" t="s">
        <v>86</v>
      </c>
      <c r="C220" t="s">
        <v>176</v>
      </c>
      <c r="D220">
        <v>23</v>
      </c>
      <c r="E220" t="s">
        <v>26</v>
      </c>
      <c r="F220" t="s">
        <v>73</v>
      </c>
      <c r="G220" t="s">
        <v>114</v>
      </c>
      <c r="H220" s="10">
        <v>46095.666064814817</v>
      </c>
    </row>
    <row r="221" spans="1:8" x14ac:dyDescent="0.25">
      <c r="A221">
        <v>227</v>
      </c>
      <c r="B221" t="s">
        <v>204</v>
      </c>
      <c r="C221" t="s">
        <v>237</v>
      </c>
      <c r="D221">
        <v>59</v>
      </c>
      <c r="E221" t="s">
        <v>26</v>
      </c>
      <c r="F221" t="s">
        <v>15</v>
      </c>
      <c r="G221" t="s">
        <v>130</v>
      </c>
      <c r="H221" s="10">
        <v>46095.666712962964</v>
      </c>
    </row>
    <row r="222" spans="1:8" x14ac:dyDescent="0.25">
      <c r="A222">
        <v>228</v>
      </c>
      <c r="B222" t="s">
        <v>13</v>
      </c>
      <c r="C222" t="s">
        <v>193</v>
      </c>
      <c r="D222">
        <v>27</v>
      </c>
      <c r="E222" t="s">
        <v>19</v>
      </c>
      <c r="F222" t="s">
        <v>33</v>
      </c>
      <c r="G222" t="s">
        <v>114</v>
      </c>
      <c r="H222" s="10">
        <v>46095.667326388888</v>
      </c>
    </row>
    <row r="223" spans="1:8" x14ac:dyDescent="0.25">
      <c r="A223">
        <v>229</v>
      </c>
      <c r="B223" t="s">
        <v>357</v>
      </c>
      <c r="C223" t="s">
        <v>358</v>
      </c>
      <c r="D223">
        <v>21</v>
      </c>
      <c r="E223" t="s">
        <v>26</v>
      </c>
      <c r="F223" t="s">
        <v>29</v>
      </c>
      <c r="G223" t="s">
        <v>114</v>
      </c>
      <c r="H223" s="10">
        <v>46095.667453703703</v>
      </c>
    </row>
    <row r="224" spans="1:8" x14ac:dyDescent="0.25">
      <c r="A224">
        <v>230</v>
      </c>
      <c r="B224" t="s">
        <v>359</v>
      </c>
      <c r="C224" t="s">
        <v>360</v>
      </c>
      <c r="D224">
        <v>22</v>
      </c>
      <c r="E224" t="s">
        <v>19</v>
      </c>
      <c r="F224" t="s">
        <v>11</v>
      </c>
      <c r="G224" t="s">
        <v>46</v>
      </c>
      <c r="H224" s="10">
        <v>46095.667916666665</v>
      </c>
    </row>
    <row r="225" spans="1:8" x14ac:dyDescent="0.25">
      <c r="A225">
        <v>231</v>
      </c>
      <c r="B225" t="s">
        <v>361</v>
      </c>
      <c r="C225" t="s">
        <v>147</v>
      </c>
      <c r="D225">
        <v>19</v>
      </c>
      <c r="E225" t="s">
        <v>19</v>
      </c>
      <c r="F225" t="s">
        <v>73</v>
      </c>
      <c r="G225" t="s">
        <v>114</v>
      </c>
      <c r="H225" s="10">
        <v>46095.66815972222</v>
      </c>
    </row>
    <row r="226" spans="1:8" x14ac:dyDescent="0.25">
      <c r="A226">
        <v>232</v>
      </c>
      <c r="B226" t="s">
        <v>362</v>
      </c>
      <c r="C226" t="s">
        <v>363</v>
      </c>
      <c r="D226">
        <v>40</v>
      </c>
      <c r="E226" t="s">
        <v>19</v>
      </c>
      <c r="F226" t="s">
        <v>11</v>
      </c>
      <c r="G226" t="s">
        <v>42</v>
      </c>
      <c r="H226" s="10">
        <v>46095.668842592589</v>
      </c>
    </row>
    <row r="227" spans="1:8" x14ac:dyDescent="0.25">
      <c r="A227">
        <v>233</v>
      </c>
      <c r="B227" t="s">
        <v>62</v>
      </c>
      <c r="C227" t="s">
        <v>364</v>
      </c>
      <c r="D227">
        <v>38</v>
      </c>
      <c r="E227" t="s">
        <v>26</v>
      </c>
      <c r="F227" t="s">
        <v>45</v>
      </c>
      <c r="G227" t="s">
        <v>114</v>
      </c>
      <c r="H227" s="10">
        <v>46095.669027777774</v>
      </c>
    </row>
    <row r="228" spans="1:8" x14ac:dyDescent="0.25">
      <c r="A228">
        <v>234</v>
      </c>
      <c r="B228" t="s">
        <v>365</v>
      </c>
      <c r="C228" t="s">
        <v>366</v>
      </c>
      <c r="D228">
        <v>18</v>
      </c>
      <c r="E228" t="s">
        <v>26</v>
      </c>
      <c r="F228" t="s">
        <v>15</v>
      </c>
      <c r="G228" t="s">
        <v>39</v>
      </c>
      <c r="H228" s="10">
        <v>46095.669629629629</v>
      </c>
    </row>
    <row r="229" spans="1:8" x14ac:dyDescent="0.25">
      <c r="A229">
        <v>235</v>
      </c>
      <c r="B229" t="s">
        <v>92</v>
      </c>
      <c r="C229" t="s">
        <v>177</v>
      </c>
      <c r="D229">
        <v>43</v>
      </c>
      <c r="E229" t="s">
        <v>19</v>
      </c>
      <c r="F229" t="s">
        <v>29</v>
      </c>
      <c r="G229" t="s">
        <v>133</v>
      </c>
      <c r="H229" s="10">
        <v>46095.669953703706</v>
      </c>
    </row>
    <row r="230" spans="1:8" x14ac:dyDescent="0.25">
      <c r="A230">
        <v>236</v>
      </c>
      <c r="B230" t="s">
        <v>138</v>
      </c>
      <c r="C230" t="s">
        <v>367</v>
      </c>
      <c r="D230">
        <v>62</v>
      </c>
      <c r="E230" t="s">
        <v>10</v>
      </c>
      <c r="F230" t="s">
        <v>15</v>
      </c>
      <c r="G230" t="s">
        <v>30</v>
      </c>
      <c r="H230" s="10">
        <v>46095.670428240737</v>
      </c>
    </row>
    <row r="231" spans="1:8" x14ac:dyDescent="0.25">
      <c r="A231">
        <v>237</v>
      </c>
      <c r="B231" t="s">
        <v>168</v>
      </c>
      <c r="C231" t="s">
        <v>334</v>
      </c>
      <c r="D231">
        <v>66</v>
      </c>
      <c r="E231" t="s">
        <v>10</v>
      </c>
      <c r="F231" t="s">
        <v>11</v>
      </c>
      <c r="G231" t="s">
        <v>54</v>
      </c>
      <c r="H231" s="10">
        <v>46095.671053240738</v>
      </c>
    </row>
    <row r="232" spans="1:8" x14ac:dyDescent="0.25">
      <c r="A232">
        <v>238</v>
      </c>
      <c r="B232" t="s">
        <v>270</v>
      </c>
      <c r="C232" t="s">
        <v>94</v>
      </c>
      <c r="D232">
        <v>57</v>
      </c>
      <c r="E232" t="s">
        <v>26</v>
      </c>
      <c r="F232" t="s">
        <v>15</v>
      </c>
      <c r="G232" t="s">
        <v>99</v>
      </c>
      <c r="H232" s="10">
        <v>46095.671678240738</v>
      </c>
    </row>
    <row r="233" spans="1:8" x14ac:dyDescent="0.25">
      <c r="A233">
        <v>239</v>
      </c>
      <c r="B233" t="s">
        <v>74</v>
      </c>
      <c r="C233" t="s">
        <v>368</v>
      </c>
      <c r="D233">
        <v>53</v>
      </c>
      <c r="E233" t="s">
        <v>19</v>
      </c>
      <c r="F233" t="s">
        <v>45</v>
      </c>
      <c r="G233" t="s">
        <v>76</v>
      </c>
      <c r="H233" s="10">
        <v>46095.67224537037</v>
      </c>
    </row>
    <row r="234" spans="1:8" x14ac:dyDescent="0.25">
      <c r="A234">
        <v>240</v>
      </c>
      <c r="B234" t="s">
        <v>369</v>
      </c>
      <c r="C234" t="s">
        <v>370</v>
      </c>
      <c r="D234">
        <v>67</v>
      </c>
      <c r="E234" t="s">
        <v>10</v>
      </c>
      <c r="F234" t="s">
        <v>45</v>
      </c>
      <c r="G234" t="s">
        <v>114</v>
      </c>
      <c r="H234" s="10">
        <v>46095.672395833331</v>
      </c>
    </row>
    <row r="235" spans="1:8" x14ac:dyDescent="0.25">
      <c r="A235">
        <v>241</v>
      </c>
      <c r="B235" t="s">
        <v>371</v>
      </c>
      <c r="C235" t="s">
        <v>372</v>
      </c>
      <c r="D235">
        <v>44</v>
      </c>
      <c r="E235" t="s">
        <v>26</v>
      </c>
      <c r="F235" t="s">
        <v>33</v>
      </c>
      <c r="G235" t="s">
        <v>16</v>
      </c>
      <c r="H235" s="10">
        <v>46095.672650462962</v>
      </c>
    </row>
    <row r="236" spans="1:8" x14ac:dyDescent="0.25">
      <c r="A236">
        <v>242</v>
      </c>
      <c r="B236" t="s">
        <v>373</v>
      </c>
      <c r="C236" t="s">
        <v>374</v>
      </c>
      <c r="D236">
        <v>20</v>
      </c>
      <c r="E236" t="s">
        <v>26</v>
      </c>
      <c r="F236" t="s">
        <v>45</v>
      </c>
      <c r="G236" t="s">
        <v>57</v>
      </c>
      <c r="H236" s="10">
        <v>46095.672858796293</v>
      </c>
    </row>
    <row r="237" spans="1:8" x14ac:dyDescent="0.25">
      <c r="A237">
        <v>243</v>
      </c>
      <c r="B237" t="s">
        <v>375</v>
      </c>
      <c r="C237" t="s">
        <v>372</v>
      </c>
      <c r="D237">
        <v>70</v>
      </c>
      <c r="E237" t="s">
        <v>10</v>
      </c>
      <c r="F237" t="s">
        <v>45</v>
      </c>
      <c r="G237" t="s">
        <v>36</v>
      </c>
      <c r="H237" s="10">
        <v>46095.673437500001</v>
      </c>
    </row>
    <row r="238" spans="1:8" x14ac:dyDescent="0.25">
      <c r="A238">
        <v>244</v>
      </c>
      <c r="B238" t="s">
        <v>24</v>
      </c>
      <c r="C238" t="s">
        <v>376</v>
      </c>
      <c r="D238">
        <v>65</v>
      </c>
      <c r="E238" t="s">
        <v>10</v>
      </c>
      <c r="F238" t="s">
        <v>20</v>
      </c>
      <c r="G238" t="s">
        <v>54</v>
      </c>
      <c r="H238" s="10">
        <v>46095.674074074072</v>
      </c>
    </row>
    <row r="239" spans="1:8" x14ac:dyDescent="0.25">
      <c r="A239">
        <v>245</v>
      </c>
      <c r="B239" t="s">
        <v>377</v>
      </c>
      <c r="C239" t="s">
        <v>334</v>
      </c>
      <c r="D239">
        <v>48</v>
      </c>
      <c r="E239" t="s">
        <v>26</v>
      </c>
      <c r="F239" t="s">
        <v>29</v>
      </c>
      <c r="G239" t="s">
        <v>70</v>
      </c>
      <c r="H239" s="10">
        <v>46095.674305555556</v>
      </c>
    </row>
    <row r="240" spans="1:8" x14ac:dyDescent="0.25">
      <c r="A240">
        <v>246</v>
      </c>
      <c r="B240" t="s">
        <v>378</v>
      </c>
      <c r="C240" t="s">
        <v>379</v>
      </c>
      <c r="D240">
        <v>41</v>
      </c>
      <c r="E240" t="s">
        <v>26</v>
      </c>
      <c r="F240" t="s">
        <v>73</v>
      </c>
      <c r="G240" t="s">
        <v>76</v>
      </c>
      <c r="H240" s="10">
        <v>46095.674814814818</v>
      </c>
    </row>
    <row r="241" spans="1:8" x14ac:dyDescent="0.25">
      <c r="A241">
        <v>247</v>
      </c>
      <c r="B241" t="s">
        <v>17</v>
      </c>
      <c r="C241" t="s">
        <v>380</v>
      </c>
      <c r="D241">
        <v>23</v>
      </c>
      <c r="E241" t="s">
        <v>10</v>
      </c>
      <c r="F241" t="s">
        <v>73</v>
      </c>
      <c r="G241" t="s">
        <v>130</v>
      </c>
      <c r="H241" s="10">
        <v>46095.67528935185</v>
      </c>
    </row>
    <row r="242" spans="1:8" x14ac:dyDescent="0.25">
      <c r="A242">
        <v>248</v>
      </c>
      <c r="B242" t="s">
        <v>382</v>
      </c>
      <c r="C242" t="s">
        <v>87</v>
      </c>
      <c r="D242">
        <v>51</v>
      </c>
      <c r="E242" t="s">
        <v>10</v>
      </c>
      <c r="F242" t="s">
        <v>33</v>
      </c>
      <c r="G242" t="s">
        <v>51</v>
      </c>
      <c r="H242" s="10">
        <v>46095.675405092596</v>
      </c>
    </row>
    <row r="243" spans="1:8" x14ac:dyDescent="0.25">
      <c r="A243">
        <v>249</v>
      </c>
      <c r="B243" t="s">
        <v>86</v>
      </c>
      <c r="C243" t="s">
        <v>383</v>
      </c>
      <c r="D243">
        <v>34</v>
      </c>
      <c r="E243" t="s">
        <v>10</v>
      </c>
      <c r="F243" t="s">
        <v>15</v>
      </c>
      <c r="G243" t="s">
        <v>130</v>
      </c>
      <c r="H243" s="10">
        <v>46095.675578703704</v>
      </c>
    </row>
    <row r="244" spans="1:8" x14ac:dyDescent="0.25">
      <c r="A244">
        <v>250</v>
      </c>
      <c r="B244" t="s">
        <v>17</v>
      </c>
      <c r="C244" t="s">
        <v>384</v>
      </c>
      <c r="D244">
        <v>29</v>
      </c>
      <c r="E244" t="s">
        <v>19</v>
      </c>
      <c r="F244" t="s">
        <v>45</v>
      </c>
      <c r="G244" t="s">
        <v>99</v>
      </c>
      <c r="H244" s="10">
        <v>46095.67591435185</v>
      </c>
    </row>
    <row r="245" spans="1:8" x14ac:dyDescent="0.25">
      <c r="A245">
        <v>251</v>
      </c>
      <c r="B245" t="s">
        <v>74</v>
      </c>
      <c r="C245" t="s">
        <v>135</v>
      </c>
      <c r="D245">
        <v>62</v>
      </c>
      <c r="E245" t="s">
        <v>19</v>
      </c>
      <c r="F245" t="s">
        <v>11</v>
      </c>
      <c r="G245" t="s">
        <v>42</v>
      </c>
      <c r="H245" s="10">
        <v>46095.676469907405</v>
      </c>
    </row>
    <row r="246" spans="1:8" x14ac:dyDescent="0.25">
      <c r="A246">
        <v>252</v>
      </c>
      <c r="B246" t="s">
        <v>386</v>
      </c>
      <c r="C246" t="s">
        <v>235</v>
      </c>
      <c r="D246">
        <v>70</v>
      </c>
      <c r="E246" t="s">
        <v>10</v>
      </c>
      <c r="F246" t="s">
        <v>33</v>
      </c>
      <c r="G246" t="s">
        <v>39</v>
      </c>
      <c r="H246" s="10">
        <v>46095.677094907405</v>
      </c>
    </row>
    <row r="247" spans="1:8" x14ac:dyDescent="0.25">
      <c r="A247">
        <v>253</v>
      </c>
      <c r="B247" t="s">
        <v>388</v>
      </c>
      <c r="C247" t="s">
        <v>389</v>
      </c>
      <c r="D247">
        <v>48</v>
      </c>
      <c r="E247" t="s">
        <v>19</v>
      </c>
      <c r="F247" t="s">
        <v>29</v>
      </c>
      <c r="G247" t="s">
        <v>130</v>
      </c>
      <c r="H247" s="10">
        <v>46095.677569444444</v>
      </c>
    </row>
    <row r="248" spans="1:8" x14ac:dyDescent="0.25">
      <c r="A248">
        <v>254</v>
      </c>
      <c r="B248" t="s">
        <v>270</v>
      </c>
      <c r="C248" t="s">
        <v>390</v>
      </c>
      <c r="D248">
        <v>18</v>
      </c>
      <c r="E248" t="s">
        <v>10</v>
      </c>
      <c r="F248" t="s">
        <v>11</v>
      </c>
      <c r="G248" t="s">
        <v>133</v>
      </c>
      <c r="H248" s="10">
        <v>46095.678240740737</v>
      </c>
    </row>
    <row r="249" spans="1:8" x14ac:dyDescent="0.25">
      <c r="A249">
        <v>255</v>
      </c>
      <c r="B249" t="s">
        <v>86</v>
      </c>
      <c r="C249" t="s">
        <v>391</v>
      </c>
      <c r="D249">
        <v>42</v>
      </c>
      <c r="E249" t="s">
        <v>26</v>
      </c>
      <c r="F249" t="s">
        <v>29</v>
      </c>
      <c r="G249" t="s">
        <v>16</v>
      </c>
      <c r="H249" s="10">
        <v>46095.678541666668</v>
      </c>
    </row>
    <row r="250" spans="1:8" x14ac:dyDescent="0.25">
      <c r="A250">
        <v>256</v>
      </c>
      <c r="B250" t="s">
        <v>393</v>
      </c>
      <c r="C250" t="s">
        <v>394</v>
      </c>
      <c r="D250">
        <v>48</v>
      </c>
      <c r="E250" t="s">
        <v>26</v>
      </c>
      <c r="F250" t="s">
        <v>73</v>
      </c>
      <c r="G250" t="s">
        <v>130</v>
      </c>
      <c r="H250" s="10">
        <v>46095.678900462961</v>
      </c>
    </row>
    <row r="251" spans="1:8" x14ac:dyDescent="0.25">
      <c r="A251">
        <v>257</v>
      </c>
      <c r="B251" t="s">
        <v>395</v>
      </c>
      <c r="C251" t="s">
        <v>396</v>
      </c>
      <c r="D251">
        <v>35</v>
      </c>
      <c r="E251" t="s">
        <v>19</v>
      </c>
      <c r="F251" t="s">
        <v>15</v>
      </c>
      <c r="G251" t="s">
        <v>133</v>
      </c>
      <c r="H251" s="10">
        <v>46095.679432870369</v>
      </c>
    </row>
    <row r="252" spans="1:8" x14ac:dyDescent="0.25">
      <c r="A252">
        <v>258</v>
      </c>
      <c r="B252" t="s">
        <v>397</v>
      </c>
      <c r="C252" t="s">
        <v>398</v>
      </c>
      <c r="D252">
        <v>32</v>
      </c>
      <c r="E252" t="s">
        <v>10</v>
      </c>
      <c r="F252" t="s">
        <v>73</v>
      </c>
      <c r="G252" t="s">
        <v>46</v>
      </c>
      <c r="H252" s="10">
        <v>46095.679988425924</v>
      </c>
    </row>
    <row r="253" spans="1:8" x14ac:dyDescent="0.25">
      <c r="A253">
        <v>259</v>
      </c>
      <c r="B253" t="s">
        <v>399</v>
      </c>
      <c r="C253" t="s">
        <v>400</v>
      </c>
      <c r="D253">
        <v>36</v>
      </c>
      <c r="E253" t="s">
        <v>19</v>
      </c>
      <c r="F253" t="s">
        <v>29</v>
      </c>
      <c r="G253" t="s">
        <v>130</v>
      </c>
      <c r="H253" s="10">
        <v>46095.680300925924</v>
      </c>
    </row>
    <row r="254" spans="1:8" x14ac:dyDescent="0.25">
      <c r="A254">
        <v>260</v>
      </c>
      <c r="B254" t="s">
        <v>401</v>
      </c>
      <c r="C254" t="s">
        <v>402</v>
      </c>
      <c r="D254">
        <v>20</v>
      </c>
      <c r="E254" t="s">
        <v>26</v>
      </c>
      <c r="F254" t="s">
        <v>29</v>
      </c>
      <c r="G254" t="s">
        <v>54</v>
      </c>
      <c r="H254" s="10">
        <v>46095.680474537039</v>
      </c>
    </row>
    <row r="255" spans="1:8" x14ac:dyDescent="0.25">
      <c r="A255">
        <v>261</v>
      </c>
      <c r="B255" t="s">
        <v>84</v>
      </c>
      <c r="C255" t="s">
        <v>123</v>
      </c>
      <c r="D255">
        <v>44</v>
      </c>
      <c r="E255" t="s">
        <v>10</v>
      </c>
      <c r="F255" t="s">
        <v>20</v>
      </c>
      <c r="G255" t="s">
        <v>57</v>
      </c>
      <c r="H255" s="10">
        <v>46095.680902777778</v>
      </c>
    </row>
    <row r="256" spans="1:8" x14ac:dyDescent="0.25">
      <c r="A256">
        <v>262</v>
      </c>
      <c r="B256" t="s">
        <v>357</v>
      </c>
      <c r="C256" t="s">
        <v>403</v>
      </c>
      <c r="D256">
        <v>49</v>
      </c>
      <c r="E256" t="s">
        <v>26</v>
      </c>
      <c r="F256" t="s">
        <v>11</v>
      </c>
      <c r="G256" t="s">
        <v>57</v>
      </c>
      <c r="H256" s="10">
        <v>46095.681238425925</v>
      </c>
    </row>
    <row r="257" spans="1:8" x14ac:dyDescent="0.25">
      <c r="A257">
        <v>263</v>
      </c>
      <c r="B257" t="s">
        <v>404</v>
      </c>
      <c r="C257" t="s">
        <v>398</v>
      </c>
      <c r="D257">
        <v>38</v>
      </c>
      <c r="E257" t="s">
        <v>19</v>
      </c>
      <c r="F257" t="s">
        <v>20</v>
      </c>
      <c r="G257" t="s">
        <v>12</v>
      </c>
      <c r="H257" s="10">
        <v>46095.681493055556</v>
      </c>
    </row>
    <row r="258" spans="1:8" x14ac:dyDescent="0.25">
      <c r="A258">
        <v>264</v>
      </c>
      <c r="B258" t="s">
        <v>232</v>
      </c>
      <c r="C258" t="s">
        <v>139</v>
      </c>
      <c r="D258">
        <v>50</v>
      </c>
      <c r="E258" t="s">
        <v>26</v>
      </c>
      <c r="F258" t="s">
        <v>15</v>
      </c>
      <c r="G258" t="s">
        <v>42</v>
      </c>
      <c r="H258" s="10">
        <v>46095.682037037041</v>
      </c>
    </row>
    <row r="259" spans="1:8" x14ac:dyDescent="0.25">
      <c r="A259">
        <v>265</v>
      </c>
      <c r="B259" t="s">
        <v>405</v>
      </c>
      <c r="C259" t="s">
        <v>406</v>
      </c>
      <c r="D259">
        <v>23</v>
      </c>
      <c r="E259" t="s">
        <v>10</v>
      </c>
      <c r="F259" t="s">
        <v>33</v>
      </c>
      <c r="G259" t="s">
        <v>36</v>
      </c>
      <c r="H259" s="10">
        <v>46095.682638888888</v>
      </c>
    </row>
    <row r="260" spans="1:8" x14ac:dyDescent="0.25">
      <c r="A260">
        <v>266</v>
      </c>
      <c r="B260" t="s">
        <v>169</v>
      </c>
      <c r="C260" t="s">
        <v>407</v>
      </c>
      <c r="D260">
        <v>61</v>
      </c>
      <c r="E260" t="s">
        <v>19</v>
      </c>
      <c r="F260" t="s">
        <v>20</v>
      </c>
      <c r="G260" t="s">
        <v>54</v>
      </c>
      <c r="H260" s="10">
        <v>46095.682766203703</v>
      </c>
    </row>
    <row r="261" spans="1:8" x14ac:dyDescent="0.25">
      <c r="A261">
        <v>267</v>
      </c>
      <c r="B261" t="s">
        <v>408</v>
      </c>
      <c r="C261" t="s">
        <v>409</v>
      </c>
      <c r="D261">
        <v>40</v>
      </c>
      <c r="E261" t="s">
        <v>26</v>
      </c>
      <c r="F261" t="s">
        <v>33</v>
      </c>
      <c r="G261" t="s">
        <v>51</v>
      </c>
      <c r="H261" s="10">
        <v>46095.683055555557</v>
      </c>
    </row>
    <row r="262" spans="1:8" x14ac:dyDescent="0.25">
      <c r="A262">
        <v>268</v>
      </c>
      <c r="B262" t="s">
        <v>246</v>
      </c>
      <c r="C262" t="s">
        <v>410</v>
      </c>
      <c r="D262">
        <v>21</v>
      </c>
      <c r="E262" t="s">
        <v>10</v>
      </c>
      <c r="F262" t="s">
        <v>73</v>
      </c>
      <c r="G262" t="s">
        <v>99</v>
      </c>
      <c r="H262" s="10">
        <v>46095.683599537035</v>
      </c>
    </row>
    <row r="263" spans="1:8" x14ac:dyDescent="0.25">
      <c r="A263">
        <v>269</v>
      </c>
      <c r="B263" t="s">
        <v>411</v>
      </c>
      <c r="C263" t="s">
        <v>230</v>
      </c>
      <c r="D263">
        <v>38</v>
      </c>
      <c r="E263" t="s">
        <v>10</v>
      </c>
      <c r="F263" t="s">
        <v>29</v>
      </c>
      <c r="G263" t="s">
        <v>54</v>
      </c>
      <c r="H263" s="10">
        <v>46095.683912037035</v>
      </c>
    </row>
    <row r="264" spans="1:8" x14ac:dyDescent="0.25">
      <c r="A264">
        <v>270</v>
      </c>
      <c r="B264" t="s">
        <v>52</v>
      </c>
      <c r="C264" t="s">
        <v>156</v>
      </c>
      <c r="D264">
        <v>63</v>
      </c>
      <c r="E264" t="s">
        <v>10</v>
      </c>
      <c r="F264" t="s">
        <v>20</v>
      </c>
      <c r="G264" t="s">
        <v>99</v>
      </c>
      <c r="H264" s="10">
        <v>46095.684560185182</v>
      </c>
    </row>
    <row r="265" spans="1:8" x14ac:dyDescent="0.25">
      <c r="A265">
        <v>271</v>
      </c>
      <c r="B265" t="s">
        <v>74</v>
      </c>
      <c r="C265" t="s">
        <v>412</v>
      </c>
      <c r="D265">
        <v>65</v>
      </c>
      <c r="E265" t="s">
        <v>19</v>
      </c>
      <c r="F265" t="s">
        <v>45</v>
      </c>
      <c r="G265" t="s">
        <v>54</v>
      </c>
      <c r="H265" s="10">
        <v>46095.68478009259</v>
      </c>
    </row>
    <row r="266" spans="1:8" x14ac:dyDescent="0.25">
      <c r="A266">
        <v>272</v>
      </c>
      <c r="B266" t="s">
        <v>258</v>
      </c>
      <c r="C266" t="s">
        <v>413</v>
      </c>
      <c r="D266">
        <v>64</v>
      </c>
      <c r="E266" t="s">
        <v>10</v>
      </c>
      <c r="F266" t="s">
        <v>45</v>
      </c>
      <c r="G266" t="s">
        <v>30</v>
      </c>
      <c r="H266" s="10">
        <v>46095.685127314813</v>
      </c>
    </row>
    <row r="267" spans="1:8" x14ac:dyDescent="0.25">
      <c r="A267">
        <v>273</v>
      </c>
      <c r="B267" t="s">
        <v>201</v>
      </c>
      <c r="C267" t="s">
        <v>414</v>
      </c>
      <c r="D267">
        <v>64</v>
      </c>
      <c r="E267" t="s">
        <v>26</v>
      </c>
      <c r="F267" t="s">
        <v>20</v>
      </c>
      <c r="G267" t="s">
        <v>36</v>
      </c>
      <c r="H267" s="10">
        <v>46095.685659722221</v>
      </c>
    </row>
    <row r="268" spans="1:8" x14ac:dyDescent="0.25">
      <c r="A268">
        <v>274</v>
      </c>
      <c r="B268" t="s">
        <v>415</v>
      </c>
      <c r="C268" t="s">
        <v>416</v>
      </c>
      <c r="D268">
        <v>31</v>
      </c>
      <c r="E268" t="s">
        <v>10</v>
      </c>
      <c r="F268" t="s">
        <v>11</v>
      </c>
      <c r="G268" t="s">
        <v>42</v>
      </c>
      <c r="H268" s="10">
        <v>46095.685925925929</v>
      </c>
    </row>
    <row r="269" spans="1:8" x14ac:dyDescent="0.25">
      <c r="A269">
        <v>275</v>
      </c>
      <c r="B269" t="s">
        <v>417</v>
      </c>
      <c r="C269" t="s">
        <v>418</v>
      </c>
      <c r="D269">
        <v>25</v>
      </c>
      <c r="E269" t="s">
        <v>10</v>
      </c>
      <c r="F269" t="s">
        <v>73</v>
      </c>
      <c r="G269" t="s">
        <v>76</v>
      </c>
      <c r="H269" s="10">
        <v>46095.686192129629</v>
      </c>
    </row>
    <row r="270" spans="1:8" x14ac:dyDescent="0.25">
      <c r="A270">
        <v>276</v>
      </c>
      <c r="B270" t="s">
        <v>127</v>
      </c>
      <c r="C270" t="s">
        <v>419</v>
      </c>
      <c r="D270">
        <v>61</v>
      </c>
      <c r="E270" t="s">
        <v>19</v>
      </c>
      <c r="F270" t="s">
        <v>15</v>
      </c>
      <c r="G270" t="s">
        <v>54</v>
      </c>
      <c r="H270" s="10">
        <v>46095.686759259261</v>
      </c>
    </row>
    <row r="271" spans="1:8" x14ac:dyDescent="0.25">
      <c r="A271">
        <v>277</v>
      </c>
      <c r="B271" t="s">
        <v>420</v>
      </c>
      <c r="C271" t="s">
        <v>421</v>
      </c>
      <c r="D271">
        <v>31</v>
      </c>
      <c r="E271" t="s">
        <v>19</v>
      </c>
      <c r="F271" t="s">
        <v>73</v>
      </c>
      <c r="G271" t="s">
        <v>65</v>
      </c>
      <c r="H271" s="10">
        <v>46095.687118055554</v>
      </c>
    </row>
    <row r="272" spans="1:8" x14ac:dyDescent="0.25">
      <c r="A272">
        <v>278</v>
      </c>
      <c r="B272" t="s">
        <v>142</v>
      </c>
      <c r="C272" t="s">
        <v>22</v>
      </c>
      <c r="D272">
        <v>34</v>
      </c>
      <c r="E272" t="s">
        <v>19</v>
      </c>
      <c r="F272" t="s">
        <v>73</v>
      </c>
      <c r="G272" t="s">
        <v>133</v>
      </c>
      <c r="H272" s="10">
        <v>46095.687685185185</v>
      </c>
    </row>
    <row r="273" spans="1:8" x14ac:dyDescent="0.25">
      <c r="A273">
        <v>279</v>
      </c>
      <c r="B273" t="s">
        <v>250</v>
      </c>
      <c r="C273" t="s">
        <v>124</v>
      </c>
      <c r="D273">
        <v>18</v>
      </c>
      <c r="E273" t="s">
        <v>19</v>
      </c>
      <c r="F273" t="s">
        <v>11</v>
      </c>
      <c r="G273" t="s">
        <v>51</v>
      </c>
      <c r="H273" s="10">
        <v>46095.688125000001</v>
      </c>
    </row>
    <row r="274" spans="1:8" x14ac:dyDescent="0.25">
      <c r="A274">
        <v>280</v>
      </c>
      <c r="B274" t="s">
        <v>84</v>
      </c>
      <c r="C274" t="s">
        <v>172</v>
      </c>
      <c r="D274">
        <v>51</v>
      </c>
      <c r="E274" t="s">
        <v>19</v>
      </c>
      <c r="F274" t="s">
        <v>11</v>
      </c>
      <c r="G274" t="s">
        <v>80</v>
      </c>
      <c r="H274" s="10">
        <v>46095.688587962963</v>
      </c>
    </row>
    <row r="275" spans="1:8" x14ac:dyDescent="0.25">
      <c r="A275">
        <v>281</v>
      </c>
      <c r="B275" t="s">
        <v>422</v>
      </c>
      <c r="C275" t="s">
        <v>172</v>
      </c>
      <c r="D275">
        <v>39</v>
      </c>
      <c r="E275" t="s">
        <v>19</v>
      </c>
      <c r="F275" t="s">
        <v>15</v>
      </c>
      <c r="G275" t="s">
        <v>30</v>
      </c>
      <c r="H275" s="10">
        <v>46095.688946759263</v>
      </c>
    </row>
    <row r="276" spans="1:8" x14ac:dyDescent="0.25">
      <c r="A276">
        <v>282</v>
      </c>
      <c r="B276" t="s">
        <v>17</v>
      </c>
      <c r="C276" t="s">
        <v>423</v>
      </c>
      <c r="D276">
        <v>53</v>
      </c>
      <c r="E276" t="s">
        <v>10</v>
      </c>
      <c r="F276" t="s">
        <v>45</v>
      </c>
      <c r="G276" t="s">
        <v>36</v>
      </c>
      <c r="H276" s="10">
        <v>46095.689236111109</v>
      </c>
    </row>
    <row r="277" spans="1:8" x14ac:dyDescent="0.25">
      <c r="A277">
        <v>283</v>
      </c>
      <c r="B277" t="s">
        <v>58</v>
      </c>
      <c r="C277" t="s">
        <v>424</v>
      </c>
      <c r="D277">
        <v>25</v>
      </c>
      <c r="E277" t="s">
        <v>19</v>
      </c>
      <c r="F277" t="s">
        <v>29</v>
      </c>
      <c r="G277" t="s">
        <v>51</v>
      </c>
      <c r="H277" s="10">
        <v>46095.689560185187</v>
      </c>
    </row>
    <row r="278" spans="1:8" x14ac:dyDescent="0.25">
      <c r="A278">
        <v>284</v>
      </c>
      <c r="B278" t="s">
        <v>167</v>
      </c>
      <c r="C278" t="s">
        <v>35</v>
      </c>
      <c r="D278">
        <v>31</v>
      </c>
      <c r="E278" t="s">
        <v>26</v>
      </c>
      <c r="F278" t="s">
        <v>11</v>
      </c>
      <c r="G278" t="s">
        <v>51</v>
      </c>
      <c r="H278" s="10">
        <v>46095.690069444441</v>
      </c>
    </row>
    <row r="279" spans="1:8" x14ac:dyDescent="0.25">
      <c r="A279">
        <v>285</v>
      </c>
      <c r="B279" t="s">
        <v>69</v>
      </c>
      <c r="C279" t="s">
        <v>372</v>
      </c>
      <c r="D279">
        <v>41</v>
      </c>
      <c r="E279" t="s">
        <v>10</v>
      </c>
      <c r="F279" t="s">
        <v>11</v>
      </c>
      <c r="G279" t="s">
        <v>68</v>
      </c>
      <c r="H279" s="10">
        <v>46095.690254629626</v>
      </c>
    </row>
    <row r="280" spans="1:8" x14ac:dyDescent="0.25">
      <c r="A280">
        <v>286</v>
      </c>
      <c r="B280" t="s">
        <v>425</v>
      </c>
      <c r="C280" t="s">
        <v>426</v>
      </c>
      <c r="D280">
        <v>21</v>
      </c>
      <c r="E280" t="s">
        <v>10</v>
      </c>
      <c r="F280" t="s">
        <v>15</v>
      </c>
      <c r="G280" t="s">
        <v>16</v>
      </c>
      <c r="H280" s="10">
        <v>46095.690833333334</v>
      </c>
    </row>
    <row r="281" spans="1:8" x14ac:dyDescent="0.25">
      <c r="A281">
        <v>287</v>
      </c>
      <c r="B281" t="s">
        <v>427</v>
      </c>
      <c r="C281" t="s">
        <v>428</v>
      </c>
      <c r="D281">
        <v>28</v>
      </c>
      <c r="E281" t="s">
        <v>26</v>
      </c>
      <c r="F281" t="s">
        <v>15</v>
      </c>
      <c r="G281" t="s">
        <v>51</v>
      </c>
      <c r="H281" s="10">
        <v>46095.690983796296</v>
      </c>
    </row>
    <row r="282" spans="1:8" x14ac:dyDescent="0.25">
      <c r="A282">
        <v>288</v>
      </c>
      <c r="B282" t="s">
        <v>429</v>
      </c>
      <c r="C282" t="s">
        <v>430</v>
      </c>
      <c r="D282">
        <v>57</v>
      </c>
      <c r="E282" t="s">
        <v>10</v>
      </c>
      <c r="F282" t="s">
        <v>20</v>
      </c>
      <c r="G282" t="s">
        <v>133</v>
      </c>
      <c r="H282" s="10">
        <v>46095.691331018519</v>
      </c>
    </row>
    <row r="283" spans="1:8" x14ac:dyDescent="0.25">
      <c r="A283">
        <v>289</v>
      </c>
      <c r="B283" t="s">
        <v>431</v>
      </c>
      <c r="C283" t="s">
        <v>432</v>
      </c>
      <c r="D283">
        <v>29</v>
      </c>
      <c r="E283" t="s">
        <v>19</v>
      </c>
      <c r="F283" t="s">
        <v>11</v>
      </c>
      <c r="G283" t="s">
        <v>114</v>
      </c>
      <c r="H283" s="10">
        <v>46095.691747685189</v>
      </c>
    </row>
    <row r="284" spans="1:8" x14ac:dyDescent="0.25">
      <c r="A284">
        <v>290</v>
      </c>
      <c r="B284" t="s">
        <v>86</v>
      </c>
      <c r="C284" t="s">
        <v>433</v>
      </c>
      <c r="D284">
        <v>25</v>
      </c>
      <c r="E284" t="s">
        <v>10</v>
      </c>
      <c r="F284" t="s">
        <v>73</v>
      </c>
      <c r="G284" t="s">
        <v>114</v>
      </c>
      <c r="H284" s="10">
        <v>46095.692256944443</v>
      </c>
    </row>
    <row r="285" spans="1:8" x14ac:dyDescent="0.25">
      <c r="A285">
        <v>291</v>
      </c>
      <c r="B285" t="s">
        <v>415</v>
      </c>
      <c r="C285" t="s">
        <v>135</v>
      </c>
      <c r="D285">
        <v>29</v>
      </c>
      <c r="E285" t="s">
        <v>10</v>
      </c>
      <c r="F285" t="s">
        <v>45</v>
      </c>
      <c r="G285" t="s">
        <v>133</v>
      </c>
      <c r="H285" s="10">
        <v>46095.692418981482</v>
      </c>
    </row>
    <row r="286" spans="1:8" x14ac:dyDescent="0.25">
      <c r="A286">
        <v>292</v>
      </c>
      <c r="B286" t="s">
        <v>92</v>
      </c>
      <c r="C286" t="s">
        <v>434</v>
      </c>
      <c r="D286">
        <v>29</v>
      </c>
      <c r="E286" t="s">
        <v>19</v>
      </c>
      <c r="F286" t="s">
        <v>29</v>
      </c>
      <c r="G286" t="s">
        <v>23</v>
      </c>
      <c r="H286" s="10">
        <v>46095.692893518521</v>
      </c>
    </row>
    <row r="287" spans="1:8" x14ac:dyDescent="0.25">
      <c r="A287">
        <v>293</v>
      </c>
      <c r="B287" t="s">
        <v>268</v>
      </c>
      <c r="C287" t="s">
        <v>435</v>
      </c>
      <c r="D287">
        <v>38</v>
      </c>
      <c r="E287" t="s">
        <v>26</v>
      </c>
      <c r="F287" t="s">
        <v>33</v>
      </c>
      <c r="G287" t="s">
        <v>65</v>
      </c>
      <c r="H287" s="10">
        <v>46095.693043981482</v>
      </c>
    </row>
    <row r="288" spans="1:8" x14ac:dyDescent="0.25">
      <c r="A288">
        <v>294</v>
      </c>
      <c r="B288" t="s">
        <v>194</v>
      </c>
      <c r="C288" t="s">
        <v>436</v>
      </c>
      <c r="D288">
        <v>60</v>
      </c>
      <c r="E288" t="s">
        <v>10</v>
      </c>
      <c r="F288" t="s">
        <v>73</v>
      </c>
      <c r="G288" t="s">
        <v>42</v>
      </c>
      <c r="H288" s="10">
        <v>46095.693553240744</v>
      </c>
    </row>
    <row r="289" spans="1:8" x14ac:dyDescent="0.25">
      <c r="A289">
        <v>295</v>
      </c>
      <c r="B289" t="s">
        <v>437</v>
      </c>
      <c r="C289" t="s">
        <v>273</v>
      </c>
      <c r="D289">
        <v>63</v>
      </c>
      <c r="E289" t="s">
        <v>26</v>
      </c>
      <c r="F289" t="s">
        <v>15</v>
      </c>
      <c r="G289" t="s">
        <v>36</v>
      </c>
      <c r="H289" s="10">
        <v>46095.693715277775</v>
      </c>
    </row>
    <row r="290" spans="1:8" x14ac:dyDescent="0.25">
      <c r="A290">
        <v>296</v>
      </c>
      <c r="B290" t="s">
        <v>438</v>
      </c>
      <c r="C290" t="s">
        <v>439</v>
      </c>
      <c r="D290">
        <v>24</v>
      </c>
      <c r="E290" t="s">
        <v>26</v>
      </c>
      <c r="F290" t="s">
        <v>15</v>
      </c>
      <c r="G290" t="s">
        <v>36</v>
      </c>
      <c r="H290" s="10">
        <v>46095.694155092591</v>
      </c>
    </row>
    <row r="291" spans="1:8" x14ac:dyDescent="0.25">
      <c r="A291">
        <v>297</v>
      </c>
      <c r="B291" t="s">
        <v>440</v>
      </c>
      <c r="C291" t="s">
        <v>441</v>
      </c>
      <c r="D291">
        <v>25</v>
      </c>
      <c r="E291" t="s">
        <v>19</v>
      </c>
      <c r="F291" t="s">
        <v>11</v>
      </c>
      <c r="G291" t="s">
        <v>51</v>
      </c>
      <c r="H291" s="10">
        <v>46095.694432870368</v>
      </c>
    </row>
    <row r="292" spans="1:8" x14ac:dyDescent="0.25">
      <c r="A292">
        <v>298</v>
      </c>
      <c r="B292" t="s">
        <v>442</v>
      </c>
      <c r="C292" t="s">
        <v>244</v>
      </c>
      <c r="D292">
        <v>45</v>
      </c>
      <c r="E292" t="s">
        <v>26</v>
      </c>
      <c r="F292" t="s">
        <v>73</v>
      </c>
      <c r="G292" t="s">
        <v>12</v>
      </c>
      <c r="H292" s="10">
        <v>46095.694826388892</v>
      </c>
    </row>
    <row r="293" spans="1:8" x14ac:dyDescent="0.25">
      <c r="A293">
        <v>299</v>
      </c>
      <c r="B293" t="s">
        <v>443</v>
      </c>
      <c r="C293" t="s">
        <v>402</v>
      </c>
      <c r="D293">
        <v>22</v>
      </c>
      <c r="E293" t="s">
        <v>19</v>
      </c>
      <c r="F293" t="s">
        <v>45</v>
      </c>
      <c r="G293" t="s">
        <v>46</v>
      </c>
      <c r="H293" s="10">
        <v>46095.695150462961</v>
      </c>
    </row>
    <row r="294" spans="1:8" x14ac:dyDescent="0.25">
      <c r="A294">
        <v>300</v>
      </c>
      <c r="B294" t="s">
        <v>296</v>
      </c>
      <c r="C294" t="s">
        <v>444</v>
      </c>
      <c r="D294">
        <v>39</v>
      </c>
      <c r="E294" t="s">
        <v>10</v>
      </c>
      <c r="F294" t="s">
        <v>11</v>
      </c>
      <c r="G294" t="s">
        <v>54</v>
      </c>
      <c r="H294" s="10">
        <v>46095.695289351854</v>
      </c>
    </row>
    <row r="295" spans="1:8" x14ac:dyDescent="0.25">
      <c r="A295">
        <v>301</v>
      </c>
      <c r="B295" t="s">
        <v>160</v>
      </c>
      <c r="C295" t="s">
        <v>77</v>
      </c>
      <c r="D295">
        <v>19</v>
      </c>
      <c r="E295" t="s">
        <v>19</v>
      </c>
      <c r="F295" t="s">
        <v>33</v>
      </c>
      <c r="G295" t="s">
        <v>36</v>
      </c>
      <c r="H295" s="10">
        <v>46095.695497685185</v>
      </c>
    </row>
    <row r="296" spans="1:8" x14ac:dyDescent="0.25">
      <c r="A296">
        <v>302</v>
      </c>
      <c r="B296" t="s">
        <v>206</v>
      </c>
      <c r="C296" t="s">
        <v>202</v>
      </c>
      <c r="D296">
        <v>69</v>
      </c>
      <c r="E296" t="s">
        <v>10</v>
      </c>
      <c r="F296" t="s">
        <v>73</v>
      </c>
      <c r="G296" t="s">
        <v>51</v>
      </c>
      <c r="H296" s="10">
        <v>46095.696030092593</v>
      </c>
    </row>
    <row r="297" spans="1:8" x14ac:dyDescent="0.25">
      <c r="A297">
        <v>303</v>
      </c>
      <c r="B297" t="s">
        <v>445</v>
      </c>
      <c r="C297" t="s">
        <v>446</v>
      </c>
      <c r="D297">
        <v>31</v>
      </c>
      <c r="E297" t="s">
        <v>19</v>
      </c>
      <c r="F297" t="s">
        <v>45</v>
      </c>
      <c r="G297" t="s">
        <v>68</v>
      </c>
      <c r="H297" s="10">
        <v>46095.696331018517</v>
      </c>
    </row>
    <row r="298" spans="1:8" x14ac:dyDescent="0.25">
      <c r="A298">
        <v>304</v>
      </c>
      <c r="B298" t="s">
        <v>142</v>
      </c>
      <c r="C298" t="s">
        <v>376</v>
      </c>
      <c r="D298">
        <v>20</v>
      </c>
      <c r="E298" t="s">
        <v>10</v>
      </c>
      <c r="F298" t="s">
        <v>20</v>
      </c>
      <c r="G298" t="s">
        <v>130</v>
      </c>
      <c r="H298" s="10">
        <v>46095.696712962963</v>
      </c>
    </row>
    <row r="299" spans="1:8" x14ac:dyDescent="0.25">
      <c r="A299">
        <v>305</v>
      </c>
      <c r="B299" t="s">
        <v>182</v>
      </c>
      <c r="C299" t="s">
        <v>418</v>
      </c>
      <c r="D299">
        <v>43</v>
      </c>
      <c r="E299" t="s">
        <v>10</v>
      </c>
      <c r="F299" t="s">
        <v>45</v>
      </c>
      <c r="G299" t="s">
        <v>39</v>
      </c>
      <c r="H299" s="10">
        <v>46095.697025462963</v>
      </c>
    </row>
    <row r="300" spans="1:8" x14ac:dyDescent="0.25">
      <c r="A300">
        <v>306</v>
      </c>
      <c r="B300" t="s">
        <v>78</v>
      </c>
      <c r="C300" t="s">
        <v>447</v>
      </c>
      <c r="D300">
        <v>55</v>
      </c>
      <c r="E300" t="s">
        <v>19</v>
      </c>
      <c r="F300" t="s">
        <v>29</v>
      </c>
      <c r="G300" t="s">
        <v>36</v>
      </c>
      <c r="H300" s="10">
        <v>46095.697233796294</v>
      </c>
    </row>
    <row r="301" spans="1:8" x14ac:dyDescent="0.25">
      <c r="A301">
        <v>307</v>
      </c>
      <c r="B301" t="s">
        <v>13</v>
      </c>
      <c r="C301" t="s">
        <v>448</v>
      </c>
      <c r="D301">
        <v>47</v>
      </c>
      <c r="E301" t="s">
        <v>10</v>
      </c>
      <c r="F301" t="s">
        <v>29</v>
      </c>
      <c r="G301" t="s">
        <v>30</v>
      </c>
      <c r="H301" s="10">
        <v>46095.697500000002</v>
      </c>
    </row>
    <row r="302" spans="1:8" x14ac:dyDescent="0.25">
      <c r="A302">
        <v>308</v>
      </c>
      <c r="B302" t="s">
        <v>262</v>
      </c>
      <c r="C302" t="s">
        <v>451</v>
      </c>
      <c r="D302">
        <v>51</v>
      </c>
      <c r="E302" t="s">
        <v>26</v>
      </c>
      <c r="F302" t="s">
        <v>11</v>
      </c>
      <c r="G302" t="s">
        <v>80</v>
      </c>
      <c r="H302" s="10">
        <v>46096.760671296295</v>
      </c>
    </row>
    <row r="303" spans="1:8" x14ac:dyDescent="0.25">
      <c r="A303">
        <v>309</v>
      </c>
      <c r="B303" t="s">
        <v>440</v>
      </c>
      <c r="C303" t="s">
        <v>452</v>
      </c>
      <c r="D303">
        <v>47</v>
      </c>
      <c r="E303" t="s">
        <v>19</v>
      </c>
      <c r="F303" t="s">
        <v>33</v>
      </c>
      <c r="G303" t="s">
        <v>130</v>
      </c>
      <c r="H303" s="10">
        <v>46096.760833333334</v>
      </c>
    </row>
    <row r="304" spans="1:8" x14ac:dyDescent="0.25">
      <c r="A304">
        <v>310</v>
      </c>
      <c r="B304" t="s">
        <v>13</v>
      </c>
      <c r="C304" t="s">
        <v>453</v>
      </c>
      <c r="D304">
        <v>44</v>
      </c>
      <c r="E304" t="s">
        <v>26</v>
      </c>
      <c r="F304" t="s">
        <v>45</v>
      </c>
      <c r="G304" t="s">
        <v>51</v>
      </c>
      <c r="H304" s="10">
        <v>46096.761064814818</v>
      </c>
    </row>
    <row r="305" spans="1:8" x14ac:dyDescent="0.25">
      <c r="A305">
        <v>311</v>
      </c>
      <c r="B305" t="s">
        <v>268</v>
      </c>
      <c r="C305" t="s">
        <v>454</v>
      </c>
      <c r="D305">
        <v>19</v>
      </c>
      <c r="E305" t="s">
        <v>19</v>
      </c>
      <c r="F305" t="s">
        <v>33</v>
      </c>
      <c r="G305" t="s">
        <v>80</v>
      </c>
      <c r="H305" s="10">
        <v>46096.761712962965</v>
      </c>
    </row>
    <row r="306" spans="1:8" x14ac:dyDescent="0.25">
      <c r="A306">
        <v>312</v>
      </c>
      <c r="B306" t="s">
        <v>62</v>
      </c>
      <c r="C306" t="s">
        <v>237</v>
      </c>
      <c r="D306">
        <v>65</v>
      </c>
      <c r="E306" t="s">
        <v>26</v>
      </c>
      <c r="F306" t="s">
        <v>33</v>
      </c>
      <c r="G306" t="s">
        <v>51</v>
      </c>
      <c r="H306" s="10">
        <v>46096.762002314812</v>
      </c>
    </row>
    <row r="307" spans="1:8" x14ac:dyDescent="0.25">
      <c r="A307">
        <v>313</v>
      </c>
      <c r="B307" t="s">
        <v>302</v>
      </c>
      <c r="C307" t="s">
        <v>455</v>
      </c>
      <c r="D307">
        <v>28</v>
      </c>
      <c r="E307" t="s">
        <v>19</v>
      </c>
      <c r="F307" t="s">
        <v>45</v>
      </c>
      <c r="G307" t="s">
        <v>12</v>
      </c>
      <c r="H307" s="10">
        <v>46096.762673611112</v>
      </c>
    </row>
    <row r="308" spans="1:8" x14ac:dyDescent="0.25">
      <c r="A308">
        <v>314</v>
      </c>
      <c r="B308" t="s">
        <v>92</v>
      </c>
      <c r="C308" t="s">
        <v>211</v>
      </c>
      <c r="D308">
        <v>65</v>
      </c>
      <c r="E308" t="s">
        <v>26</v>
      </c>
      <c r="F308" t="s">
        <v>29</v>
      </c>
      <c r="G308" t="s">
        <v>30</v>
      </c>
      <c r="H308" s="10">
        <v>46096.762916666667</v>
      </c>
    </row>
    <row r="309" spans="1:8" x14ac:dyDescent="0.25">
      <c r="A309">
        <v>315</v>
      </c>
      <c r="B309" t="s">
        <v>456</v>
      </c>
      <c r="C309" t="s">
        <v>457</v>
      </c>
      <c r="D309">
        <v>51</v>
      </c>
      <c r="E309" t="s">
        <v>19</v>
      </c>
      <c r="F309" t="s">
        <v>15</v>
      </c>
      <c r="G309" t="s">
        <v>57</v>
      </c>
      <c r="H309" s="10">
        <v>46096.763124999998</v>
      </c>
    </row>
    <row r="310" spans="1:8" x14ac:dyDescent="0.25">
      <c r="A310">
        <v>316</v>
      </c>
      <c r="B310" t="s">
        <v>458</v>
      </c>
      <c r="C310" t="s">
        <v>459</v>
      </c>
      <c r="D310">
        <v>66</v>
      </c>
      <c r="E310" t="s">
        <v>19</v>
      </c>
      <c r="F310" t="s">
        <v>20</v>
      </c>
      <c r="G310" t="s">
        <v>30</v>
      </c>
      <c r="H310" s="10">
        <v>46096.763356481482</v>
      </c>
    </row>
    <row r="311" spans="1:8" x14ac:dyDescent="0.25">
      <c r="A311">
        <v>317</v>
      </c>
      <c r="B311" t="s">
        <v>78</v>
      </c>
      <c r="C311" t="s">
        <v>460</v>
      </c>
      <c r="D311">
        <v>24</v>
      </c>
      <c r="E311" t="s">
        <v>19</v>
      </c>
      <c r="F311" t="s">
        <v>29</v>
      </c>
      <c r="G311" t="s">
        <v>36</v>
      </c>
      <c r="H311" s="10">
        <v>46096.763761574075</v>
      </c>
    </row>
    <row r="312" spans="1:8" x14ac:dyDescent="0.25">
      <c r="A312">
        <v>318</v>
      </c>
      <c r="B312" t="s">
        <v>131</v>
      </c>
      <c r="C312" t="s">
        <v>352</v>
      </c>
      <c r="D312">
        <v>67</v>
      </c>
      <c r="E312" t="s">
        <v>26</v>
      </c>
      <c r="F312" t="s">
        <v>73</v>
      </c>
      <c r="G312" t="s">
        <v>30</v>
      </c>
      <c r="H312" s="10">
        <v>46096.764282407406</v>
      </c>
    </row>
    <row r="313" spans="1:8" x14ac:dyDescent="0.25">
      <c r="A313">
        <v>319</v>
      </c>
      <c r="B313" t="s">
        <v>461</v>
      </c>
      <c r="C313" t="s">
        <v>428</v>
      </c>
      <c r="D313">
        <v>51</v>
      </c>
      <c r="E313" t="s">
        <v>19</v>
      </c>
      <c r="F313" t="s">
        <v>29</v>
      </c>
      <c r="G313" t="s">
        <v>12</v>
      </c>
      <c r="H313" s="10">
        <v>46096.764814814815</v>
      </c>
    </row>
    <row r="314" spans="1:8" x14ac:dyDescent="0.25">
      <c r="A314">
        <v>320</v>
      </c>
      <c r="B314" t="s">
        <v>462</v>
      </c>
      <c r="C314" t="s">
        <v>463</v>
      </c>
      <c r="D314">
        <v>58</v>
      </c>
      <c r="E314" t="s">
        <v>10</v>
      </c>
      <c r="F314" t="s">
        <v>45</v>
      </c>
      <c r="G314" t="s">
        <v>54</v>
      </c>
      <c r="H314" s="10">
        <v>46096.765162037038</v>
      </c>
    </row>
    <row r="315" spans="1:8" x14ac:dyDescent="0.25">
      <c r="A315">
        <v>321</v>
      </c>
      <c r="B315" t="s">
        <v>445</v>
      </c>
      <c r="C315" t="s">
        <v>464</v>
      </c>
      <c r="D315">
        <v>34</v>
      </c>
      <c r="E315" t="s">
        <v>19</v>
      </c>
      <c r="F315" t="s">
        <v>11</v>
      </c>
      <c r="G315" t="s">
        <v>99</v>
      </c>
      <c r="H315" s="10">
        <v>46096.7655787037</v>
      </c>
    </row>
    <row r="316" spans="1:8" x14ac:dyDescent="0.25">
      <c r="A316">
        <v>322</v>
      </c>
      <c r="B316" t="s">
        <v>465</v>
      </c>
      <c r="C316" t="s">
        <v>307</v>
      </c>
      <c r="D316">
        <v>26</v>
      </c>
      <c r="E316" t="s">
        <v>19</v>
      </c>
      <c r="F316" t="s">
        <v>33</v>
      </c>
      <c r="G316" t="s">
        <v>80</v>
      </c>
      <c r="H316" s="10">
        <v>46096.765879629631</v>
      </c>
    </row>
    <row r="317" spans="1:8" x14ac:dyDescent="0.25">
      <c r="A317">
        <v>323</v>
      </c>
      <c r="B317" t="s">
        <v>258</v>
      </c>
      <c r="C317" t="s">
        <v>87</v>
      </c>
      <c r="D317">
        <v>70</v>
      </c>
      <c r="E317" t="s">
        <v>10</v>
      </c>
      <c r="F317" t="s">
        <v>45</v>
      </c>
      <c r="G317" t="s">
        <v>23</v>
      </c>
      <c r="H317" s="10">
        <v>46096.766284722224</v>
      </c>
    </row>
    <row r="318" spans="1:8" x14ac:dyDescent="0.25">
      <c r="A318">
        <v>324</v>
      </c>
      <c r="B318" t="s">
        <v>466</v>
      </c>
      <c r="C318" t="s">
        <v>467</v>
      </c>
      <c r="D318">
        <v>37</v>
      </c>
      <c r="E318" t="s">
        <v>19</v>
      </c>
      <c r="F318" t="s">
        <v>73</v>
      </c>
      <c r="G318" t="s">
        <v>70</v>
      </c>
      <c r="H318" s="10">
        <v>46096.766400462962</v>
      </c>
    </row>
    <row r="319" spans="1:8" x14ac:dyDescent="0.25">
      <c r="A319">
        <v>325</v>
      </c>
      <c r="B319" t="s">
        <v>468</v>
      </c>
      <c r="C319" t="s">
        <v>469</v>
      </c>
      <c r="D319">
        <v>65</v>
      </c>
      <c r="E319" t="s">
        <v>10</v>
      </c>
      <c r="F319" t="s">
        <v>45</v>
      </c>
      <c r="G319" t="s">
        <v>16</v>
      </c>
      <c r="H319" s="10">
        <v>46096.767025462963</v>
      </c>
    </row>
    <row r="320" spans="1:8" x14ac:dyDescent="0.25">
      <c r="A320">
        <v>326</v>
      </c>
      <c r="B320" t="s">
        <v>151</v>
      </c>
      <c r="C320" t="s">
        <v>470</v>
      </c>
      <c r="D320">
        <v>29</v>
      </c>
      <c r="E320" t="s">
        <v>26</v>
      </c>
      <c r="F320" t="s">
        <v>15</v>
      </c>
      <c r="G320" t="s">
        <v>65</v>
      </c>
      <c r="H320" s="10">
        <v>46096.767696759256</v>
      </c>
    </row>
    <row r="321" spans="1:8" x14ac:dyDescent="0.25">
      <c r="A321">
        <v>327</v>
      </c>
      <c r="B321" t="s">
        <v>359</v>
      </c>
      <c r="C321" t="s">
        <v>471</v>
      </c>
      <c r="D321">
        <v>44</v>
      </c>
      <c r="E321" t="s">
        <v>26</v>
      </c>
      <c r="F321" t="s">
        <v>29</v>
      </c>
      <c r="G321" t="s">
        <v>42</v>
      </c>
      <c r="H321" s="10">
        <v>46096.768217592595</v>
      </c>
    </row>
    <row r="322" spans="1:8" x14ac:dyDescent="0.25">
      <c r="A322">
        <v>328</v>
      </c>
      <c r="B322" t="s">
        <v>465</v>
      </c>
      <c r="C322" t="s">
        <v>135</v>
      </c>
      <c r="D322">
        <v>19</v>
      </c>
      <c r="E322" t="s">
        <v>26</v>
      </c>
      <c r="F322" t="s">
        <v>45</v>
      </c>
      <c r="G322" t="s">
        <v>80</v>
      </c>
      <c r="H322" s="10">
        <v>46096.768414351849</v>
      </c>
    </row>
    <row r="323" spans="1:8" x14ac:dyDescent="0.25">
      <c r="A323">
        <v>329</v>
      </c>
      <c r="B323" t="s">
        <v>472</v>
      </c>
      <c r="C323" t="s">
        <v>473</v>
      </c>
      <c r="D323">
        <v>53</v>
      </c>
      <c r="E323" t="s">
        <v>26</v>
      </c>
      <c r="F323" t="s">
        <v>11</v>
      </c>
      <c r="G323" t="s">
        <v>54</v>
      </c>
      <c r="H323" s="10">
        <v>46096.768854166665</v>
      </c>
    </row>
    <row r="324" spans="1:8" x14ac:dyDescent="0.25">
      <c r="A324">
        <v>330</v>
      </c>
      <c r="B324" t="s">
        <v>474</v>
      </c>
      <c r="C324" t="s">
        <v>475</v>
      </c>
      <c r="D324">
        <v>69</v>
      </c>
      <c r="E324" t="s">
        <v>10</v>
      </c>
      <c r="F324" t="s">
        <v>33</v>
      </c>
      <c r="G324" t="s">
        <v>39</v>
      </c>
      <c r="H324" s="10">
        <v>46096.769247685188</v>
      </c>
    </row>
    <row r="325" spans="1:8" x14ac:dyDescent="0.25">
      <c r="A325">
        <v>331</v>
      </c>
      <c r="B325" t="s">
        <v>78</v>
      </c>
      <c r="C325" t="s">
        <v>128</v>
      </c>
      <c r="D325">
        <v>42</v>
      </c>
      <c r="E325" t="s">
        <v>19</v>
      </c>
      <c r="F325" t="s">
        <v>29</v>
      </c>
      <c r="G325" t="s">
        <v>54</v>
      </c>
      <c r="H325" s="10">
        <v>46096.769583333335</v>
      </c>
    </row>
    <row r="326" spans="1:8" x14ac:dyDescent="0.25">
      <c r="A326">
        <v>332</v>
      </c>
      <c r="B326" t="s">
        <v>52</v>
      </c>
      <c r="C326" t="s">
        <v>118</v>
      </c>
      <c r="D326">
        <v>39</v>
      </c>
      <c r="E326" t="s">
        <v>10</v>
      </c>
      <c r="F326" t="s">
        <v>20</v>
      </c>
      <c r="G326" t="s">
        <v>76</v>
      </c>
      <c r="H326" s="10">
        <v>46096.769826388889</v>
      </c>
    </row>
    <row r="327" spans="1:8" x14ac:dyDescent="0.25">
      <c r="A327">
        <v>333</v>
      </c>
      <c r="B327" t="s">
        <v>182</v>
      </c>
      <c r="C327" t="s">
        <v>476</v>
      </c>
      <c r="D327">
        <v>58</v>
      </c>
      <c r="E327" t="s">
        <v>10</v>
      </c>
      <c r="F327" t="s">
        <v>20</v>
      </c>
      <c r="G327" t="s">
        <v>23</v>
      </c>
      <c r="H327" s="10">
        <v>46096.78733796296</v>
      </c>
    </row>
    <row r="328" spans="1:8" x14ac:dyDescent="0.25">
      <c r="A328">
        <v>334</v>
      </c>
      <c r="B328" t="s">
        <v>477</v>
      </c>
      <c r="C328" t="s">
        <v>478</v>
      </c>
      <c r="D328">
        <v>25</v>
      </c>
      <c r="E328" t="s">
        <v>26</v>
      </c>
      <c r="F328" t="s">
        <v>20</v>
      </c>
      <c r="G328" t="s">
        <v>114</v>
      </c>
      <c r="H328" s="10">
        <v>46096.795486111114</v>
      </c>
    </row>
    <row r="329" spans="1:8" x14ac:dyDescent="0.25">
      <c r="A329">
        <v>335</v>
      </c>
      <c r="B329" t="s">
        <v>367</v>
      </c>
      <c r="C329" t="s">
        <v>352</v>
      </c>
      <c r="D329">
        <v>47</v>
      </c>
      <c r="E329" t="s">
        <v>19</v>
      </c>
      <c r="F329" t="s">
        <v>73</v>
      </c>
      <c r="G329" t="s">
        <v>36</v>
      </c>
      <c r="H329" s="10">
        <v>46096.79614583333</v>
      </c>
    </row>
    <row r="330" spans="1:8" x14ac:dyDescent="0.25">
      <c r="A330">
        <v>336</v>
      </c>
      <c r="B330" t="s">
        <v>479</v>
      </c>
      <c r="C330" t="s">
        <v>480</v>
      </c>
      <c r="D330">
        <v>23</v>
      </c>
      <c r="E330" t="s">
        <v>19</v>
      </c>
      <c r="F330" t="s">
        <v>15</v>
      </c>
      <c r="G330" t="s">
        <v>99</v>
      </c>
      <c r="H330" s="10">
        <v>46096.796354166669</v>
      </c>
    </row>
    <row r="331" spans="1:8" x14ac:dyDescent="0.25">
      <c r="A331">
        <v>337</v>
      </c>
      <c r="B331" t="s">
        <v>481</v>
      </c>
      <c r="C331" t="s">
        <v>482</v>
      </c>
      <c r="D331">
        <v>42</v>
      </c>
      <c r="E331" t="s">
        <v>19</v>
      </c>
      <c r="F331" t="s">
        <v>20</v>
      </c>
      <c r="G331" t="s">
        <v>80</v>
      </c>
      <c r="H331" s="10">
        <v>46096.796701388892</v>
      </c>
    </row>
    <row r="332" spans="1:8" x14ac:dyDescent="0.25">
      <c r="A332">
        <v>338</v>
      </c>
      <c r="B332" t="s">
        <v>174</v>
      </c>
      <c r="C332" t="s">
        <v>139</v>
      </c>
      <c r="D332">
        <v>50</v>
      </c>
      <c r="E332" t="s">
        <v>10</v>
      </c>
      <c r="F332" t="s">
        <v>29</v>
      </c>
      <c r="G332" t="s">
        <v>46</v>
      </c>
      <c r="H332" s="10">
        <v>46096.7968287037</v>
      </c>
    </row>
    <row r="333" spans="1:8" x14ac:dyDescent="0.25">
      <c r="A333">
        <v>339</v>
      </c>
      <c r="B333" t="s">
        <v>66</v>
      </c>
      <c r="C333" t="s">
        <v>483</v>
      </c>
      <c r="D333">
        <v>52</v>
      </c>
      <c r="E333" t="s">
        <v>19</v>
      </c>
      <c r="F333" t="s">
        <v>20</v>
      </c>
      <c r="G333" t="s">
        <v>114</v>
      </c>
      <c r="H333" s="10">
        <v>46096.7971412037</v>
      </c>
    </row>
    <row r="334" spans="1:8" x14ac:dyDescent="0.25">
      <c r="A334">
        <v>340</v>
      </c>
      <c r="B334" t="s">
        <v>484</v>
      </c>
      <c r="C334" t="s">
        <v>379</v>
      </c>
      <c r="D334">
        <v>49</v>
      </c>
      <c r="E334" t="s">
        <v>19</v>
      </c>
      <c r="F334" t="s">
        <v>15</v>
      </c>
      <c r="G334" t="s">
        <v>16</v>
      </c>
      <c r="H334" s="10">
        <v>46096.797349537039</v>
      </c>
    </row>
    <row r="335" spans="1:8" x14ac:dyDescent="0.25">
      <c r="A335">
        <v>341</v>
      </c>
      <c r="B335" t="s">
        <v>97</v>
      </c>
      <c r="C335" t="s">
        <v>194</v>
      </c>
      <c r="D335">
        <v>64</v>
      </c>
      <c r="E335" t="s">
        <v>19</v>
      </c>
      <c r="F335" t="s">
        <v>73</v>
      </c>
      <c r="G335" t="s">
        <v>54</v>
      </c>
      <c r="H335" s="10">
        <v>46096.797581018516</v>
      </c>
    </row>
    <row r="336" spans="1:8" x14ac:dyDescent="0.25">
      <c r="A336">
        <v>342</v>
      </c>
      <c r="B336" t="s">
        <v>155</v>
      </c>
      <c r="C336" t="s">
        <v>485</v>
      </c>
      <c r="D336">
        <v>49</v>
      </c>
      <c r="E336" t="s">
        <v>26</v>
      </c>
      <c r="F336" t="s">
        <v>29</v>
      </c>
      <c r="G336" t="s">
        <v>46</v>
      </c>
      <c r="H336" s="10">
        <v>46096.797708333332</v>
      </c>
    </row>
    <row r="337" spans="1:8" x14ac:dyDescent="0.25">
      <c r="A337">
        <v>343</v>
      </c>
      <c r="B337" t="s">
        <v>62</v>
      </c>
      <c r="C337" t="s">
        <v>211</v>
      </c>
      <c r="D337">
        <v>19</v>
      </c>
      <c r="E337" t="s">
        <v>19</v>
      </c>
      <c r="F337" t="s">
        <v>15</v>
      </c>
      <c r="G337" t="s">
        <v>36</v>
      </c>
      <c r="H337" s="10">
        <v>46096.798043981478</v>
      </c>
    </row>
    <row r="338" spans="1:8" x14ac:dyDescent="0.25">
      <c r="A338">
        <v>344</v>
      </c>
      <c r="B338" t="s">
        <v>184</v>
      </c>
      <c r="C338" t="s">
        <v>486</v>
      </c>
      <c r="D338">
        <v>58</v>
      </c>
      <c r="E338" t="s">
        <v>26</v>
      </c>
      <c r="F338" t="s">
        <v>33</v>
      </c>
      <c r="G338" t="s">
        <v>36</v>
      </c>
      <c r="H338" s="10">
        <v>46096.798738425925</v>
      </c>
    </row>
    <row r="339" spans="1:8" x14ac:dyDescent="0.25">
      <c r="A339">
        <v>345</v>
      </c>
      <c r="B339" t="s">
        <v>62</v>
      </c>
      <c r="C339" t="s">
        <v>487</v>
      </c>
      <c r="D339">
        <v>59</v>
      </c>
      <c r="E339" t="s">
        <v>10</v>
      </c>
      <c r="F339" t="s">
        <v>20</v>
      </c>
      <c r="G339" t="s">
        <v>51</v>
      </c>
      <c r="H339" s="10">
        <v>46096.799201388887</v>
      </c>
    </row>
    <row r="340" spans="1:8" x14ac:dyDescent="0.25">
      <c r="A340">
        <v>346</v>
      </c>
      <c r="B340" t="s">
        <v>488</v>
      </c>
      <c r="C340" t="s">
        <v>18</v>
      </c>
      <c r="D340">
        <v>59</v>
      </c>
      <c r="E340" t="s">
        <v>19</v>
      </c>
      <c r="F340" t="s">
        <v>29</v>
      </c>
      <c r="G340" t="s">
        <v>46</v>
      </c>
      <c r="H340" s="10">
        <v>46096.799629629626</v>
      </c>
    </row>
    <row r="341" spans="1:8" x14ac:dyDescent="0.25">
      <c r="A341">
        <v>347</v>
      </c>
      <c r="B341" t="s">
        <v>125</v>
      </c>
      <c r="C341" t="s">
        <v>174</v>
      </c>
      <c r="D341">
        <v>58</v>
      </c>
      <c r="E341" t="s">
        <v>26</v>
      </c>
      <c r="F341" t="s">
        <v>45</v>
      </c>
      <c r="G341" t="s">
        <v>12</v>
      </c>
      <c r="H341" s="10">
        <v>46096.799803240741</v>
      </c>
    </row>
    <row r="342" spans="1:8" x14ac:dyDescent="0.25">
      <c r="A342">
        <v>348</v>
      </c>
      <c r="B342" t="s">
        <v>489</v>
      </c>
      <c r="C342" t="s">
        <v>490</v>
      </c>
      <c r="D342">
        <v>47</v>
      </c>
      <c r="E342" t="s">
        <v>10</v>
      </c>
      <c r="F342" t="s">
        <v>20</v>
      </c>
      <c r="G342" t="s">
        <v>23</v>
      </c>
      <c r="H342" s="10">
        <v>46096.800393518519</v>
      </c>
    </row>
    <row r="343" spans="1:8" x14ac:dyDescent="0.25">
      <c r="A343">
        <v>349</v>
      </c>
      <c r="B343" t="s">
        <v>491</v>
      </c>
      <c r="C343" t="s">
        <v>22</v>
      </c>
      <c r="D343">
        <v>68</v>
      </c>
      <c r="E343" t="s">
        <v>26</v>
      </c>
      <c r="F343" t="s">
        <v>15</v>
      </c>
      <c r="G343" t="s">
        <v>51</v>
      </c>
      <c r="H343" s="10">
        <v>46096.800717592596</v>
      </c>
    </row>
    <row r="344" spans="1:8" x14ac:dyDescent="0.25">
      <c r="A344">
        <v>350</v>
      </c>
      <c r="B344" t="s">
        <v>40</v>
      </c>
      <c r="C344" t="s">
        <v>492</v>
      </c>
      <c r="D344">
        <v>58</v>
      </c>
      <c r="E344" t="s">
        <v>26</v>
      </c>
      <c r="F344" t="s">
        <v>73</v>
      </c>
      <c r="G344" t="s">
        <v>114</v>
      </c>
      <c r="H344" s="10">
        <v>46096.800983796296</v>
      </c>
    </row>
    <row r="345" spans="1:8" x14ac:dyDescent="0.25">
      <c r="A345">
        <v>351</v>
      </c>
      <c r="B345" t="s">
        <v>88</v>
      </c>
      <c r="C345" t="s">
        <v>324</v>
      </c>
      <c r="D345">
        <v>64</v>
      </c>
      <c r="E345" t="s">
        <v>10</v>
      </c>
      <c r="F345" t="s">
        <v>33</v>
      </c>
      <c r="G345" t="s">
        <v>133</v>
      </c>
      <c r="H345" s="10">
        <v>46096.801354166666</v>
      </c>
    </row>
    <row r="346" spans="1:8" x14ac:dyDescent="0.25">
      <c r="A346">
        <v>352</v>
      </c>
      <c r="B346" t="s">
        <v>493</v>
      </c>
      <c r="C346" t="s">
        <v>18</v>
      </c>
      <c r="D346">
        <v>40</v>
      </c>
      <c r="E346" t="s">
        <v>10</v>
      </c>
      <c r="F346" t="s">
        <v>29</v>
      </c>
      <c r="G346" t="s">
        <v>46</v>
      </c>
      <c r="H346" s="10">
        <v>46096.801979166667</v>
      </c>
    </row>
    <row r="347" spans="1:8" x14ac:dyDescent="0.25">
      <c r="A347">
        <v>353</v>
      </c>
      <c r="B347" t="s">
        <v>174</v>
      </c>
      <c r="C347" t="s">
        <v>494</v>
      </c>
      <c r="D347">
        <v>46</v>
      </c>
      <c r="E347" t="s">
        <v>10</v>
      </c>
      <c r="F347" t="s">
        <v>45</v>
      </c>
      <c r="G347" t="s">
        <v>54</v>
      </c>
      <c r="H347" s="10">
        <v>46096.802106481482</v>
      </c>
    </row>
    <row r="348" spans="1:8" x14ac:dyDescent="0.25">
      <c r="A348">
        <v>354</v>
      </c>
      <c r="B348" t="s">
        <v>222</v>
      </c>
      <c r="C348" t="s">
        <v>495</v>
      </c>
      <c r="D348">
        <v>48</v>
      </c>
      <c r="E348" t="s">
        <v>10</v>
      </c>
      <c r="F348" t="s">
        <v>20</v>
      </c>
      <c r="G348" t="s">
        <v>16</v>
      </c>
      <c r="H348" s="10">
        <v>46096.802523148152</v>
      </c>
    </row>
    <row r="349" spans="1:8" x14ac:dyDescent="0.25">
      <c r="A349">
        <v>355</v>
      </c>
      <c r="B349" t="s">
        <v>184</v>
      </c>
      <c r="C349" t="s">
        <v>496</v>
      </c>
      <c r="D349">
        <v>25</v>
      </c>
      <c r="E349" t="s">
        <v>10</v>
      </c>
      <c r="F349" t="s">
        <v>20</v>
      </c>
      <c r="G349" t="s">
        <v>36</v>
      </c>
      <c r="H349" s="10">
        <v>46096.803101851852</v>
      </c>
    </row>
    <row r="350" spans="1:8" x14ac:dyDescent="0.25">
      <c r="A350">
        <v>356</v>
      </c>
      <c r="B350" t="s">
        <v>497</v>
      </c>
      <c r="C350" t="s">
        <v>113</v>
      </c>
      <c r="D350">
        <v>62</v>
      </c>
      <c r="E350" t="s">
        <v>19</v>
      </c>
      <c r="F350" t="s">
        <v>20</v>
      </c>
      <c r="G350" t="s">
        <v>68</v>
      </c>
      <c r="H350" s="10">
        <v>46096.803599537037</v>
      </c>
    </row>
    <row r="351" spans="1:8" x14ac:dyDescent="0.25">
      <c r="A351">
        <v>357</v>
      </c>
      <c r="B351" t="s">
        <v>117</v>
      </c>
      <c r="C351" t="s">
        <v>135</v>
      </c>
      <c r="D351">
        <v>41</v>
      </c>
      <c r="E351" t="s">
        <v>19</v>
      </c>
      <c r="F351" t="s">
        <v>33</v>
      </c>
      <c r="G351" t="s">
        <v>46</v>
      </c>
      <c r="H351" s="10">
        <v>46096.804212962961</v>
      </c>
    </row>
    <row r="352" spans="1:8" x14ac:dyDescent="0.25">
      <c r="A352">
        <v>358</v>
      </c>
      <c r="B352" t="s">
        <v>393</v>
      </c>
      <c r="C352" t="s">
        <v>308</v>
      </c>
      <c r="D352">
        <v>43</v>
      </c>
      <c r="E352" t="s">
        <v>19</v>
      </c>
      <c r="F352" t="s">
        <v>33</v>
      </c>
      <c r="G352" t="s">
        <v>133</v>
      </c>
      <c r="H352" s="10">
        <v>46096.804363425923</v>
      </c>
    </row>
    <row r="353" spans="1:8" x14ac:dyDescent="0.25">
      <c r="A353">
        <v>359</v>
      </c>
      <c r="B353" t="s">
        <v>195</v>
      </c>
      <c r="C353" t="s">
        <v>498</v>
      </c>
      <c r="D353">
        <v>35</v>
      </c>
      <c r="E353" t="s">
        <v>19</v>
      </c>
      <c r="F353" t="s">
        <v>15</v>
      </c>
      <c r="G353" t="s">
        <v>65</v>
      </c>
      <c r="H353" s="10">
        <v>46096.804942129631</v>
      </c>
    </row>
    <row r="354" spans="1:8" x14ac:dyDescent="0.25">
      <c r="A354">
        <v>360</v>
      </c>
      <c r="B354" t="s">
        <v>499</v>
      </c>
      <c r="C354" t="s">
        <v>352</v>
      </c>
      <c r="D354">
        <v>38</v>
      </c>
      <c r="E354" t="s">
        <v>26</v>
      </c>
      <c r="F354" t="s">
        <v>15</v>
      </c>
      <c r="G354" t="s">
        <v>65</v>
      </c>
      <c r="H354" s="10">
        <v>46096.805520833332</v>
      </c>
    </row>
    <row r="355" spans="1:8" x14ac:dyDescent="0.25">
      <c r="A355">
        <v>361</v>
      </c>
      <c r="B355" t="s">
        <v>63</v>
      </c>
      <c r="C355" t="s">
        <v>500</v>
      </c>
      <c r="D355">
        <v>56</v>
      </c>
      <c r="E355" t="s">
        <v>10</v>
      </c>
      <c r="F355" t="s">
        <v>33</v>
      </c>
      <c r="G355" t="s">
        <v>80</v>
      </c>
      <c r="H355" s="10">
        <v>46096.806076388886</v>
      </c>
    </row>
    <row r="356" spans="1:8" x14ac:dyDescent="0.25">
      <c r="A356">
        <v>362</v>
      </c>
      <c r="B356" t="s">
        <v>52</v>
      </c>
      <c r="C356" t="s">
        <v>501</v>
      </c>
      <c r="D356">
        <v>53</v>
      </c>
      <c r="E356" t="s">
        <v>26</v>
      </c>
      <c r="F356" t="s">
        <v>11</v>
      </c>
      <c r="G356" t="s">
        <v>42</v>
      </c>
      <c r="H356" s="10">
        <v>46096.806250000001</v>
      </c>
    </row>
    <row r="357" spans="1:8" x14ac:dyDescent="0.25">
      <c r="A357">
        <v>363</v>
      </c>
      <c r="B357" t="s">
        <v>69</v>
      </c>
      <c r="C357" t="s">
        <v>135</v>
      </c>
      <c r="D357">
        <v>40</v>
      </c>
      <c r="E357" t="s">
        <v>10</v>
      </c>
      <c r="F357" t="s">
        <v>29</v>
      </c>
      <c r="G357" t="s">
        <v>30</v>
      </c>
      <c r="H357" s="10">
        <v>46096.806712962964</v>
      </c>
    </row>
    <row r="358" spans="1:8" x14ac:dyDescent="0.25">
      <c r="A358">
        <v>364</v>
      </c>
      <c r="B358" t="s">
        <v>220</v>
      </c>
      <c r="C358" t="s">
        <v>161</v>
      </c>
      <c r="D358">
        <v>21</v>
      </c>
      <c r="E358" t="s">
        <v>26</v>
      </c>
      <c r="F358" t="s">
        <v>11</v>
      </c>
      <c r="G358" t="s">
        <v>39</v>
      </c>
      <c r="H358" s="10">
        <v>46096.807256944441</v>
      </c>
    </row>
    <row r="359" spans="1:8" x14ac:dyDescent="0.25">
      <c r="A359">
        <v>365</v>
      </c>
      <c r="B359" t="s">
        <v>62</v>
      </c>
      <c r="C359" t="s">
        <v>348</v>
      </c>
      <c r="D359">
        <v>49</v>
      </c>
      <c r="E359" t="s">
        <v>26</v>
      </c>
      <c r="F359" t="s">
        <v>11</v>
      </c>
      <c r="G359" t="s">
        <v>23</v>
      </c>
      <c r="H359" s="10">
        <v>46096.807546296295</v>
      </c>
    </row>
    <row r="360" spans="1:8" x14ac:dyDescent="0.25">
      <c r="A360">
        <v>366</v>
      </c>
      <c r="B360" t="s">
        <v>296</v>
      </c>
      <c r="C360" t="s">
        <v>313</v>
      </c>
      <c r="D360">
        <v>25</v>
      </c>
      <c r="E360" t="s">
        <v>19</v>
      </c>
      <c r="F360" t="s">
        <v>45</v>
      </c>
      <c r="G360" t="s">
        <v>65</v>
      </c>
      <c r="H360" s="10">
        <v>46096.808217592596</v>
      </c>
    </row>
    <row r="361" spans="1:8" x14ac:dyDescent="0.25">
      <c r="A361">
        <v>367</v>
      </c>
      <c r="B361" t="s">
        <v>194</v>
      </c>
      <c r="C361" t="s">
        <v>224</v>
      </c>
      <c r="D361">
        <v>30</v>
      </c>
      <c r="E361" t="s">
        <v>26</v>
      </c>
      <c r="F361" t="s">
        <v>20</v>
      </c>
      <c r="G361" t="s">
        <v>70</v>
      </c>
      <c r="H361" s="10">
        <v>46096.80877314815</v>
      </c>
    </row>
    <row r="362" spans="1:8" x14ac:dyDescent="0.25">
      <c r="A362">
        <v>368</v>
      </c>
      <c r="B362" t="s">
        <v>34</v>
      </c>
      <c r="C362" t="s">
        <v>35</v>
      </c>
      <c r="D362">
        <v>65</v>
      </c>
      <c r="E362" t="s">
        <v>26</v>
      </c>
      <c r="F362" t="s">
        <v>73</v>
      </c>
      <c r="G362" t="s">
        <v>68</v>
      </c>
      <c r="H362" s="10">
        <v>46096.809062499997</v>
      </c>
    </row>
    <row r="363" spans="1:8" x14ac:dyDescent="0.25">
      <c r="A363">
        <v>369</v>
      </c>
      <c r="B363" t="s">
        <v>404</v>
      </c>
      <c r="C363" t="s">
        <v>502</v>
      </c>
      <c r="D363">
        <v>30</v>
      </c>
      <c r="E363" t="s">
        <v>26</v>
      </c>
      <c r="F363" t="s">
        <v>15</v>
      </c>
      <c r="G363" t="s">
        <v>12</v>
      </c>
      <c r="H363" s="10">
        <v>46096.809652777774</v>
      </c>
    </row>
    <row r="364" spans="1:8" x14ac:dyDescent="0.25">
      <c r="A364">
        <v>370</v>
      </c>
      <c r="B364" t="s">
        <v>362</v>
      </c>
      <c r="C364" t="s">
        <v>503</v>
      </c>
      <c r="D364">
        <v>30</v>
      </c>
      <c r="E364" t="s">
        <v>26</v>
      </c>
      <c r="F364" t="s">
        <v>11</v>
      </c>
      <c r="G364" t="s">
        <v>54</v>
      </c>
      <c r="H364" s="10">
        <v>46096.810324074075</v>
      </c>
    </row>
    <row r="365" spans="1:8" x14ac:dyDescent="0.25">
      <c r="A365">
        <v>371</v>
      </c>
      <c r="B365" t="s">
        <v>481</v>
      </c>
      <c r="C365" t="s">
        <v>428</v>
      </c>
      <c r="D365">
        <v>61</v>
      </c>
      <c r="E365" t="s">
        <v>26</v>
      </c>
      <c r="F365" t="s">
        <v>20</v>
      </c>
      <c r="G365" t="s">
        <v>23</v>
      </c>
      <c r="H365" s="10">
        <v>46096.811018518521</v>
      </c>
    </row>
    <row r="366" spans="1:8" x14ac:dyDescent="0.25">
      <c r="A366">
        <v>372</v>
      </c>
      <c r="B366" t="s">
        <v>504</v>
      </c>
      <c r="C366" t="s">
        <v>505</v>
      </c>
      <c r="D366">
        <v>66</v>
      </c>
      <c r="E366" t="s">
        <v>26</v>
      </c>
      <c r="F366" t="s">
        <v>73</v>
      </c>
      <c r="G366" t="s">
        <v>133</v>
      </c>
      <c r="H366" s="10">
        <v>46096.811377314814</v>
      </c>
    </row>
    <row r="367" spans="1:8" x14ac:dyDescent="0.25">
      <c r="A367">
        <v>373</v>
      </c>
      <c r="B367" t="s">
        <v>84</v>
      </c>
      <c r="C367" t="s">
        <v>18</v>
      </c>
      <c r="D367">
        <v>66</v>
      </c>
      <c r="E367" t="s">
        <v>10</v>
      </c>
      <c r="F367" t="s">
        <v>29</v>
      </c>
      <c r="G367" t="s">
        <v>30</v>
      </c>
      <c r="H367" s="10">
        <v>46096.811944444446</v>
      </c>
    </row>
    <row r="368" spans="1:8" x14ac:dyDescent="0.25">
      <c r="A368">
        <v>374</v>
      </c>
      <c r="B368" t="s">
        <v>260</v>
      </c>
      <c r="C368" t="s">
        <v>506</v>
      </c>
      <c r="D368">
        <v>45</v>
      </c>
      <c r="E368" t="s">
        <v>10</v>
      </c>
      <c r="F368" t="s">
        <v>20</v>
      </c>
      <c r="G368" t="s">
        <v>51</v>
      </c>
      <c r="H368" s="10">
        <v>46096.812615740739</v>
      </c>
    </row>
    <row r="369" spans="1:8" x14ac:dyDescent="0.25">
      <c r="A369">
        <v>375</v>
      </c>
      <c r="B369" t="s">
        <v>507</v>
      </c>
      <c r="C369" t="s">
        <v>508</v>
      </c>
      <c r="D369">
        <v>42</v>
      </c>
      <c r="E369" t="s">
        <v>10</v>
      </c>
      <c r="F369" t="s">
        <v>15</v>
      </c>
      <c r="G369" t="s">
        <v>54</v>
      </c>
      <c r="H369" s="10">
        <v>46096.812789351854</v>
      </c>
    </row>
    <row r="370" spans="1:8" x14ac:dyDescent="0.25">
      <c r="A370">
        <v>376</v>
      </c>
      <c r="B370" t="s">
        <v>509</v>
      </c>
      <c r="C370" t="s">
        <v>510</v>
      </c>
      <c r="D370">
        <v>68</v>
      </c>
      <c r="E370" t="s">
        <v>26</v>
      </c>
      <c r="F370" t="s">
        <v>33</v>
      </c>
      <c r="G370" t="s">
        <v>133</v>
      </c>
      <c r="H370" s="10">
        <v>46096.813425925924</v>
      </c>
    </row>
    <row r="371" spans="1:8" x14ac:dyDescent="0.25">
      <c r="A371">
        <v>377</v>
      </c>
      <c r="B371" t="s">
        <v>201</v>
      </c>
      <c r="C371" t="s">
        <v>511</v>
      </c>
      <c r="D371">
        <v>36</v>
      </c>
      <c r="E371" t="s">
        <v>10</v>
      </c>
      <c r="F371" t="s">
        <v>11</v>
      </c>
      <c r="G371" t="s">
        <v>12</v>
      </c>
      <c r="H371" s="10">
        <v>46096.813703703701</v>
      </c>
    </row>
    <row r="372" spans="1:8" x14ac:dyDescent="0.25">
      <c r="A372">
        <v>378</v>
      </c>
      <c r="B372" t="s">
        <v>55</v>
      </c>
      <c r="C372" t="s">
        <v>172</v>
      </c>
      <c r="D372">
        <v>30</v>
      </c>
      <c r="E372" t="s">
        <v>19</v>
      </c>
      <c r="F372" t="s">
        <v>15</v>
      </c>
      <c r="G372" t="s">
        <v>99</v>
      </c>
      <c r="H372" s="10">
        <v>46096.813900462963</v>
      </c>
    </row>
    <row r="373" spans="1:8" x14ac:dyDescent="0.25">
      <c r="A373">
        <v>379</v>
      </c>
      <c r="B373" t="s">
        <v>512</v>
      </c>
      <c r="C373" t="s">
        <v>487</v>
      </c>
      <c r="D373">
        <v>62</v>
      </c>
      <c r="E373" t="s">
        <v>19</v>
      </c>
      <c r="F373" t="s">
        <v>73</v>
      </c>
      <c r="G373" t="s">
        <v>30</v>
      </c>
      <c r="H373" s="10">
        <v>46096.814328703702</v>
      </c>
    </row>
    <row r="374" spans="1:8" x14ac:dyDescent="0.25">
      <c r="A374">
        <v>380</v>
      </c>
      <c r="B374" t="s">
        <v>513</v>
      </c>
      <c r="C374" t="s">
        <v>514</v>
      </c>
      <c r="D374">
        <v>23</v>
      </c>
      <c r="E374" t="s">
        <v>26</v>
      </c>
      <c r="F374" t="s">
        <v>20</v>
      </c>
      <c r="G374" t="s">
        <v>65</v>
      </c>
      <c r="H374" s="10">
        <v>46096.814826388887</v>
      </c>
    </row>
    <row r="375" spans="1:8" x14ac:dyDescent="0.25">
      <c r="A375">
        <v>381</v>
      </c>
      <c r="B375" t="s">
        <v>142</v>
      </c>
      <c r="C375" t="s">
        <v>264</v>
      </c>
      <c r="D375">
        <v>53</v>
      </c>
      <c r="E375" t="s">
        <v>19</v>
      </c>
      <c r="F375" t="s">
        <v>33</v>
      </c>
      <c r="G375" t="s">
        <v>23</v>
      </c>
      <c r="H375" s="10">
        <v>46096.815324074072</v>
      </c>
    </row>
    <row r="376" spans="1:8" x14ac:dyDescent="0.25">
      <c r="A376">
        <v>382</v>
      </c>
      <c r="B376" t="s">
        <v>268</v>
      </c>
      <c r="C376" t="s">
        <v>96</v>
      </c>
      <c r="D376">
        <v>63</v>
      </c>
      <c r="E376" t="s">
        <v>19</v>
      </c>
      <c r="F376" t="s">
        <v>73</v>
      </c>
      <c r="G376" t="s">
        <v>65</v>
      </c>
      <c r="H376" s="10">
        <v>46096.815659722219</v>
      </c>
    </row>
    <row r="377" spans="1:8" x14ac:dyDescent="0.25">
      <c r="A377">
        <v>383</v>
      </c>
      <c r="B377" t="s">
        <v>125</v>
      </c>
      <c r="C377" t="s">
        <v>515</v>
      </c>
      <c r="D377">
        <v>64</v>
      </c>
      <c r="E377" t="s">
        <v>10</v>
      </c>
      <c r="F377" t="s">
        <v>45</v>
      </c>
      <c r="G377" t="s">
        <v>65</v>
      </c>
      <c r="H377" s="10">
        <v>46096.816111111111</v>
      </c>
    </row>
    <row r="378" spans="1:8" x14ac:dyDescent="0.25">
      <c r="A378">
        <v>384</v>
      </c>
      <c r="B378" t="s">
        <v>305</v>
      </c>
      <c r="C378" t="s">
        <v>516</v>
      </c>
      <c r="D378">
        <v>25</v>
      </c>
      <c r="E378" t="s">
        <v>10</v>
      </c>
      <c r="F378" t="s">
        <v>33</v>
      </c>
      <c r="G378" t="s">
        <v>54</v>
      </c>
      <c r="H378" s="10">
        <v>46096.816261574073</v>
      </c>
    </row>
    <row r="379" spans="1:8" x14ac:dyDescent="0.25">
      <c r="A379">
        <v>385</v>
      </c>
      <c r="B379" t="s">
        <v>340</v>
      </c>
      <c r="C379" t="s">
        <v>237</v>
      </c>
      <c r="D379">
        <v>48</v>
      </c>
      <c r="E379" t="s">
        <v>26</v>
      </c>
      <c r="F379" t="s">
        <v>45</v>
      </c>
      <c r="G379" t="s">
        <v>39</v>
      </c>
      <c r="H379" s="10">
        <v>46096.816562499997</v>
      </c>
    </row>
    <row r="380" spans="1:8" x14ac:dyDescent="0.25">
      <c r="A380">
        <v>386</v>
      </c>
      <c r="B380" t="s">
        <v>69</v>
      </c>
      <c r="C380" t="s">
        <v>517</v>
      </c>
      <c r="D380">
        <v>33</v>
      </c>
      <c r="E380" t="s">
        <v>10</v>
      </c>
      <c r="F380" t="s">
        <v>11</v>
      </c>
      <c r="G380" t="s">
        <v>130</v>
      </c>
      <c r="H380" s="10">
        <v>46096.816863425927</v>
      </c>
    </row>
    <row r="381" spans="1:8" x14ac:dyDescent="0.25">
      <c r="A381">
        <v>387</v>
      </c>
      <c r="B381" t="s">
        <v>213</v>
      </c>
      <c r="C381" t="s">
        <v>348</v>
      </c>
      <c r="D381">
        <v>41</v>
      </c>
      <c r="E381" t="s">
        <v>19</v>
      </c>
      <c r="F381" t="s">
        <v>29</v>
      </c>
      <c r="G381" t="s">
        <v>39</v>
      </c>
      <c r="H381" s="10">
        <v>46096.817395833335</v>
      </c>
    </row>
    <row r="382" spans="1:8" x14ac:dyDescent="0.25">
      <c r="A382">
        <v>388</v>
      </c>
      <c r="B382" t="s">
        <v>190</v>
      </c>
      <c r="C382" t="s">
        <v>518</v>
      </c>
      <c r="D382">
        <v>43</v>
      </c>
      <c r="E382" t="s">
        <v>26</v>
      </c>
      <c r="F382" t="s">
        <v>15</v>
      </c>
      <c r="G382" t="s">
        <v>42</v>
      </c>
      <c r="H382" s="10">
        <v>46096.81759259259</v>
      </c>
    </row>
    <row r="383" spans="1:8" x14ac:dyDescent="0.25">
      <c r="A383">
        <v>389</v>
      </c>
      <c r="B383" t="s">
        <v>477</v>
      </c>
      <c r="C383" t="s">
        <v>519</v>
      </c>
      <c r="D383">
        <v>49</v>
      </c>
      <c r="E383" t="s">
        <v>10</v>
      </c>
      <c r="F383" t="s">
        <v>29</v>
      </c>
      <c r="G383" t="s">
        <v>36</v>
      </c>
      <c r="H383" s="10">
        <v>46096.817731481482</v>
      </c>
    </row>
    <row r="384" spans="1:8" x14ac:dyDescent="0.25">
      <c r="A384">
        <v>390</v>
      </c>
      <c r="B384" t="s">
        <v>203</v>
      </c>
      <c r="C384" t="s">
        <v>418</v>
      </c>
      <c r="D384">
        <v>56</v>
      </c>
      <c r="E384" t="s">
        <v>19</v>
      </c>
      <c r="F384" t="s">
        <v>15</v>
      </c>
      <c r="G384" t="s">
        <v>80</v>
      </c>
      <c r="H384" s="10">
        <v>46096.818009259259</v>
      </c>
    </row>
    <row r="385" spans="1:8" x14ac:dyDescent="0.25">
      <c r="A385">
        <v>391</v>
      </c>
      <c r="B385" t="s">
        <v>520</v>
      </c>
      <c r="C385" t="s">
        <v>291</v>
      </c>
      <c r="D385">
        <v>29</v>
      </c>
      <c r="E385" t="s">
        <v>26</v>
      </c>
      <c r="F385" t="s">
        <v>33</v>
      </c>
      <c r="G385" t="s">
        <v>68</v>
      </c>
      <c r="H385" s="10">
        <v>46096.818194444444</v>
      </c>
    </row>
    <row r="386" spans="1:8" x14ac:dyDescent="0.25">
      <c r="A386">
        <v>392</v>
      </c>
      <c r="B386" t="s">
        <v>521</v>
      </c>
      <c r="C386" t="s">
        <v>332</v>
      </c>
      <c r="D386">
        <v>70</v>
      </c>
      <c r="E386" t="s">
        <v>10</v>
      </c>
      <c r="F386" t="s">
        <v>15</v>
      </c>
      <c r="G386" t="s">
        <v>68</v>
      </c>
      <c r="H386" s="10">
        <v>46096.818657407406</v>
      </c>
    </row>
    <row r="387" spans="1:8" x14ac:dyDescent="0.25">
      <c r="A387">
        <v>393</v>
      </c>
      <c r="B387" t="s">
        <v>52</v>
      </c>
      <c r="C387" t="s">
        <v>145</v>
      </c>
      <c r="D387">
        <v>28</v>
      </c>
      <c r="E387" t="s">
        <v>26</v>
      </c>
      <c r="F387" t="s">
        <v>45</v>
      </c>
      <c r="G387" t="s">
        <v>54</v>
      </c>
      <c r="H387" s="10">
        <v>46096.819328703707</v>
      </c>
    </row>
    <row r="388" spans="1:8" x14ac:dyDescent="0.25">
      <c r="A388">
        <v>394</v>
      </c>
      <c r="B388" t="s">
        <v>522</v>
      </c>
      <c r="C388" t="s">
        <v>101</v>
      </c>
      <c r="D388">
        <v>53</v>
      </c>
      <c r="E388" t="s">
        <v>10</v>
      </c>
      <c r="F388" t="s">
        <v>20</v>
      </c>
      <c r="G388" t="s">
        <v>23</v>
      </c>
      <c r="H388" s="10">
        <v>46096.819849537038</v>
      </c>
    </row>
    <row r="389" spans="1:8" x14ac:dyDescent="0.25">
      <c r="A389">
        <v>395</v>
      </c>
      <c r="B389" t="s">
        <v>127</v>
      </c>
      <c r="C389" t="s">
        <v>523</v>
      </c>
      <c r="D389">
        <v>47</v>
      </c>
      <c r="E389" t="s">
        <v>26</v>
      </c>
      <c r="F389" t="s">
        <v>11</v>
      </c>
      <c r="G389" t="s">
        <v>39</v>
      </c>
      <c r="H389" s="10">
        <v>46096.820462962962</v>
      </c>
    </row>
    <row r="390" spans="1:8" x14ac:dyDescent="0.25">
      <c r="A390">
        <v>396</v>
      </c>
      <c r="B390" t="s">
        <v>415</v>
      </c>
      <c r="C390" t="s">
        <v>524</v>
      </c>
      <c r="D390">
        <v>58</v>
      </c>
      <c r="E390" t="s">
        <v>19</v>
      </c>
      <c r="F390" t="s">
        <v>15</v>
      </c>
      <c r="G390" t="s">
        <v>51</v>
      </c>
      <c r="H390" s="10">
        <v>46096.821076388886</v>
      </c>
    </row>
    <row r="391" spans="1:8" x14ac:dyDescent="0.25">
      <c r="A391">
        <v>397</v>
      </c>
      <c r="B391" t="s">
        <v>84</v>
      </c>
      <c r="C391" t="s">
        <v>525</v>
      </c>
      <c r="D391">
        <v>61</v>
      </c>
      <c r="E391" t="s">
        <v>10</v>
      </c>
      <c r="F391" t="s">
        <v>33</v>
      </c>
      <c r="G391" t="s">
        <v>36</v>
      </c>
      <c r="H391" s="10">
        <v>46096.821388888886</v>
      </c>
    </row>
    <row r="392" spans="1:8" x14ac:dyDescent="0.25">
      <c r="A392">
        <v>398</v>
      </c>
      <c r="B392" t="s">
        <v>81</v>
      </c>
      <c r="C392" t="s">
        <v>526</v>
      </c>
      <c r="D392">
        <v>30</v>
      </c>
      <c r="E392" t="s">
        <v>26</v>
      </c>
      <c r="F392" t="s">
        <v>11</v>
      </c>
      <c r="G392" t="s">
        <v>42</v>
      </c>
      <c r="H392" s="10">
        <v>46096.821516203701</v>
      </c>
    </row>
    <row r="393" spans="1:8" x14ac:dyDescent="0.25">
      <c r="A393">
        <v>399</v>
      </c>
      <c r="B393" t="s">
        <v>481</v>
      </c>
      <c r="C393" t="s">
        <v>527</v>
      </c>
      <c r="D393">
        <v>55</v>
      </c>
      <c r="E393" t="s">
        <v>19</v>
      </c>
      <c r="F393" t="s">
        <v>29</v>
      </c>
      <c r="G393" t="s">
        <v>12</v>
      </c>
      <c r="H393" s="10">
        <v>46096.821944444448</v>
      </c>
    </row>
    <row r="394" spans="1:8" x14ac:dyDescent="0.25">
      <c r="A394">
        <v>400</v>
      </c>
      <c r="B394" t="s">
        <v>528</v>
      </c>
      <c r="C394" t="s">
        <v>257</v>
      </c>
      <c r="D394">
        <v>66</v>
      </c>
      <c r="E394" t="s">
        <v>10</v>
      </c>
      <c r="F394" t="s">
        <v>45</v>
      </c>
      <c r="G394" t="s">
        <v>99</v>
      </c>
      <c r="H394" s="10">
        <v>46096.822280092594</v>
      </c>
    </row>
    <row r="395" spans="1:8" x14ac:dyDescent="0.25">
      <c r="A395">
        <v>401</v>
      </c>
      <c r="B395" t="s">
        <v>262</v>
      </c>
      <c r="C395" t="s">
        <v>529</v>
      </c>
      <c r="D395">
        <v>38</v>
      </c>
      <c r="E395" t="s">
        <v>19</v>
      </c>
      <c r="F395" t="s">
        <v>73</v>
      </c>
      <c r="G395" t="s">
        <v>114</v>
      </c>
      <c r="H395" s="10">
        <v>46096.822453703702</v>
      </c>
    </row>
    <row r="396" spans="1:8" x14ac:dyDescent="0.25">
      <c r="A396">
        <v>402</v>
      </c>
      <c r="B396" t="s">
        <v>530</v>
      </c>
      <c r="C396" t="s">
        <v>419</v>
      </c>
      <c r="D396">
        <v>47</v>
      </c>
      <c r="E396" t="s">
        <v>19</v>
      </c>
      <c r="F396" t="s">
        <v>29</v>
      </c>
      <c r="G396" t="s">
        <v>130</v>
      </c>
      <c r="H396" s="10">
        <v>46096.822754629633</v>
      </c>
    </row>
    <row r="397" spans="1:8" x14ac:dyDescent="0.25">
      <c r="A397">
        <v>403</v>
      </c>
      <c r="B397" t="s">
        <v>531</v>
      </c>
      <c r="C397" t="s">
        <v>87</v>
      </c>
      <c r="D397">
        <v>51</v>
      </c>
      <c r="E397" t="s">
        <v>10</v>
      </c>
      <c r="F397" t="s">
        <v>73</v>
      </c>
      <c r="G397" t="s">
        <v>54</v>
      </c>
      <c r="H397" s="10">
        <v>46096.82298611111</v>
      </c>
    </row>
    <row r="398" spans="1:8" x14ac:dyDescent="0.25">
      <c r="A398">
        <v>404</v>
      </c>
      <c r="B398" t="s">
        <v>532</v>
      </c>
      <c r="C398" t="s">
        <v>139</v>
      </c>
      <c r="D398">
        <v>24</v>
      </c>
      <c r="E398" t="s">
        <v>19</v>
      </c>
      <c r="F398" t="s">
        <v>11</v>
      </c>
      <c r="G398" t="s">
        <v>130</v>
      </c>
      <c r="H398" s="10">
        <v>46096.823275462964</v>
      </c>
    </row>
    <row r="399" spans="1:8" x14ac:dyDescent="0.25">
      <c r="A399">
        <v>405</v>
      </c>
      <c r="B399" t="s">
        <v>533</v>
      </c>
      <c r="C399" t="s">
        <v>103</v>
      </c>
      <c r="D399">
        <v>31</v>
      </c>
      <c r="E399" t="s">
        <v>10</v>
      </c>
      <c r="F399" t="s">
        <v>20</v>
      </c>
      <c r="G399" t="s">
        <v>68</v>
      </c>
      <c r="H399" s="10">
        <v>46096.823692129627</v>
      </c>
    </row>
    <row r="400" spans="1:8" x14ac:dyDescent="0.25">
      <c r="A400">
        <v>406</v>
      </c>
      <c r="B400" t="s">
        <v>104</v>
      </c>
      <c r="C400" t="s">
        <v>534</v>
      </c>
      <c r="D400">
        <v>29</v>
      </c>
      <c r="E400" t="s">
        <v>10</v>
      </c>
      <c r="F400" t="s">
        <v>15</v>
      </c>
      <c r="G400" t="s">
        <v>133</v>
      </c>
      <c r="H400" s="10">
        <v>46096.824074074073</v>
      </c>
    </row>
    <row r="401" spans="1:8" x14ac:dyDescent="0.25">
      <c r="A401">
        <v>407</v>
      </c>
      <c r="B401" t="s">
        <v>182</v>
      </c>
      <c r="C401" t="s">
        <v>535</v>
      </c>
      <c r="D401">
        <v>36</v>
      </c>
      <c r="E401" t="s">
        <v>19</v>
      </c>
      <c r="F401" t="s">
        <v>11</v>
      </c>
      <c r="G401" t="s">
        <v>65</v>
      </c>
      <c r="H401" s="10">
        <v>46096.824212962965</v>
      </c>
    </row>
    <row r="402" spans="1:8" x14ac:dyDescent="0.25">
      <c r="A402">
        <v>408</v>
      </c>
      <c r="B402" t="s">
        <v>122</v>
      </c>
      <c r="C402" t="s">
        <v>139</v>
      </c>
      <c r="D402">
        <v>40</v>
      </c>
      <c r="E402" t="s">
        <v>26</v>
      </c>
      <c r="F402" t="s">
        <v>20</v>
      </c>
      <c r="G402" t="s">
        <v>133</v>
      </c>
      <c r="H402" s="10">
        <v>46097.851643518516</v>
      </c>
    </row>
    <row r="403" spans="1:8" x14ac:dyDescent="0.25">
      <c r="A403">
        <v>409</v>
      </c>
      <c r="B403" t="s">
        <v>13</v>
      </c>
      <c r="C403" t="s">
        <v>241</v>
      </c>
      <c r="D403">
        <v>57</v>
      </c>
      <c r="E403" t="s">
        <v>26</v>
      </c>
      <c r="F403" t="s">
        <v>15</v>
      </c>
      <c r="G403" t="s">
        <v>70</v>
      </c>
      <c r="H403" s="10">
        <v>46097.851840277777</v>
      </c>
    </row>
    <row r="404" spans="1:8" x14ac:dyDescent="0.25">
      <c r="A404">
        <v>410</v>
      </c>
      <c r="B404" t="s">
        <v>538</v>
      </c>
      <c r="C404" t="s">
        <v>535</v>
      </c>
      <c r="D404">
        <v>70</v>
      </c>
      <c r="E404" t="s">
        <v>26</v>
      </c>
      <c r="F404" t="s">
        <v>29</v>
      </c>
      <c r="G404" t="s">
        <v>76</v>
      </c>
      <c r="H404" s="10">
        <v>46097.852048611108</v>
      </c>
    </row>
    <row r="405" spans="1:8" x14ac:dyDescent="0.25">
      <c r="A405">
        <v>411</v>
      </c>
      <c r="B405" t="s">
        <v>325</v>
      </c>
      <c r="C405" t="s">
        <v>539</v>
      </c>
      <c r="D405">
        <v>54</v>
      </c>
      <c r="E405" t="s">
        <v>26</v>
      </c>
      <c r="F405" t="s">
        <v>45</v>
      </c>
      <c r="G405" t="s">
        <v>23</v>
      </c>
      <c r="H405" s="10">
        <v>46097.852210648147</v>
      </c>
    </row>
    <row r="406" spans="1:8" x14ac:dyDescent="0.25">
      <c r="A406">
        <v>412</v>
      </c>
      <c r="B406" t="s">
        <v>404</v>
      </c>
      <c r="C406" t="s">
        <v>540</v>
      </c>
      <c r="D406">
        <v>70</v>
      </c>
      <c r="E406" t="s">
        <v>10</v>
      </c>
      <c r="F406" t="s">
        <v>33</v>
      </c>
      <c r="G406" t="s">
        <v>30</v>
      </c>
      <c r="H406" s="10">
        <v>46097.852465277778</v>
      </c>
    </row>
    <row r="407" spans="1:8" x14ac:dyDescent="0.25">
      <c r="A407">
        <v>413</v>
      </c>
      <c r="B407" t="s">
        <v>104</v>
      </c>
      <c r="C407" t="s">
        <v>222</v>
      </c>
      <c r="D407">
        <v>40</v>
      </c>
      <c r="E407" t="s">
        <v>19</v>
      </c>
      <c r="F407" t="s">
        <v>33</v>
      </c>
      <c r="G407" t="s">
        <v>76</v>
      </c>
      <c r="H407" s="10">
        <v>46097.852939814817</v>
      </c>
    </row>
    <row r="408" spans="1:8" x14ac:dyDescent="0.25">
      <c r="A408">
        <v>414</v>
      </c>
      <c r="B408" t="s">
        <v>74</v>
      </c>
      <c r="C408" t="s">
        <v>541</v>
      </c>
      <c r="D408">
        <v>45</v>
      </c>
      <c r="E408" t="s">
        <v>19</v>
      </c>
      <c r="F408" t="s">
        <v>33</v>
      </c>
      <c r="G408" t="s">
        <v>76</v>
      </c>
      <c r="H408" s="10">
        <v>46097.853252314817</v>
      </c>
    </row>
    <row r="409" spans="1:8" x14ac:dyDescent="0.25">
      <c r="A409">
        <v>415</v>
      </c>
      <c r="B409" t="s">
        <v>134</v>
      </c>
      <c r="C409" t="s">
        <v>464</v>
      </c>
      <c r="D409">
        <v>66</v>
      </c>
      <c r="E409" t="s">
        <v>26</v>
      </c>
      <c r="F409" t="s">
        <v>45</v>
      </c>
      <c r="G409" t="s">
        <v>68</v>
      </c>
      <c r="H409" s="10">
        <v>46097.853692129633</v>
      </c>
    </row>
    <row r="410" spans="1:8" x14ac:dyDescent="0.25">
      <c r="A410">
        <v>416</v>
      </c>
      <c r="B410" t="s">
        <v>138</v>
      </c>
      <c r="C410" t="s">
        <v>542</v>
      </c>
      <c r="D410">
        <v>25</v>
      </c>
      <c r="E410" t="s">
        <v>26</v>
      </c>
      <c r="F410" t="s">
        <v>33</v>
      </c>
      <c r="G410" t="s">
        <v>68</v>
      </c>
      <c r="H410" s="10">
        <v>46097.854212962964</v>
      </c>
    </row>
    <row r="411" spans="1:8" x14ac:dyDescent="0.25">
      <c r="A411">
        <v>417</v>
      </c>
      <c r="B411" t="s">
        <v>220</v>
      </c>
      <c r="C411" t="s">
        <v>470</v>
      </c>
      <c r="D411">
        <v>57</v>
      </c>
      <c r="E411" t="s">
        <v>10</v>
      </c>
      <c r="F411" t="s">
        <v>33</v>
      </c>
      <c r="G411" t="s">
        <v>46</v>
      </c>
      <c r="H411" s="10">
        <v>46097.854826388888</v>
      </c>
    </row>
    <row r="412" spans="1:8" x14ac:dyDescent="0.25">
      <c r="A412">
        <v>418</v>
      </c>
      <c r="B412" t="s">
        <v>543</v>
      </c>
      <c r="C412" t="s">
        <v>544</v>
      </c>
      <c r="D412">
        <v>69</v>
      </c>
      <c r="E412" t="s">
        <v>19</v>
      </c>
      <c r="F412" t="s">
        <v>20</v>
      </c>
      <c r="G412" t="s">
        <v>65</v>
      </c>
      <c r="H412" s="10">
        <v>46097.855127314811</v>
      </c>
    </row>
    <row r="413" spans="1:8" x14ac:dyDescent="0.25">
      <c r="A413">
        <v>419</v>
      </c>
      <c r="B413" t="s">
        <v>545</v>
      </c>
      <c r="C413" t="s">
        <v>546</v>
      </c>
      <c r="D413">
        <v>22</v>
      </c>
      <c r="E413" t="s">
        <v>26</v>
      </c>
      <c r="F413" t="s">
        <v>29</v>
      </c>
      <c r="G413" t="s">
        <v>99</v>
      </c>
      <c r="H413" s="10">
        <v>46097.855370370373</v>
      </c>
    </row>
    <row r="414" spans="1:8" x14ac:dyDescent="0.25">
      <c r="A414">
        <v>420</v>
      </c>
      <c r="B414" t="s">
        <v>547</v>
      </c>
      <c r="C414" t="s">
        <v>222</v>
      </c>
      <c r="D414">
        <v>45</v>
      </c>
      <c r="E414" t="s">
        <v>10</v>
      </c>
      <c r="F414" t="s">
        <v>29</v>
      </c>
      <c r="G414" t="s">
        <v>36</v>
      </c>
      <c r="H414" s="10">
        <v>46097.855833333335</v>
      </c>
    </row>
    <row r="415" spans="1:8" x14ac:dyDescent="0.25">
      <c r="A415">
        <v>421</v>
      </c>
      <c r="B415" t="s">
        <v>548</v>
      </c>
      <c r="C415" t="s">
        <v>176</v>
      </c>
      <c r="D415">
        <v>46</v>
      </c>
      <c r="E415" t="s">
        <v>19</v>
      </c>
      <c r="F415" t="s">
        <v>15</v>
      </c>
      <c r="G415" t="s">
        <v>23</v>
      </c>
      <c r="H415" s="10">
        <v>46097.856006944443</v>
      </c>
    </row>
    <row r="416" spans="1:8" x14ac:dyDescent="0.25">
      <c r="A416">
        <v>422</v>
      </c>
      <c r="B416" t="s">
        <v>52</v>
      </c>
      <c r="C416" t="s">
        <v>257</v>
      </c>
      <c r="D416">
        <v>23</v>
      </c>
      <c r="E416" t="s">
        <v>10</v>
      </c>
      <c r="F416" t="s">
        <v>73</v>
      </c>
      <c r="G416" t="s">
        <v>39</v>
      </c>
      <c r="H416" s="10">
        <v>46097.856192129628</v>
      </c>
    </row>
    <row r="417" spans="1:8" x14ac:dyDescent="0.25">
      <c r="A417">
        <v>423</v>
      </c>
      <c r="B417" t="s">
        <v>127</v>
      </c>
      <c r="C417" t="s">
        <v>18</v>
      </c>
      <c r="D417">
        <v>61</v>
      </c>
      <c r="E417" t="s">
        <v>26</v>
      </c>
      <c r="F417" t="s">
        <v>33</v>
      </c>
      <c r="G417" t="s">
        <v>54</v>
      </c>
      <c r="H417" s="10">
        <v>46097.856828703705</v>
      </c>
    </row>
    <row r="418" spans="1:8" x14ac:dyDescent="0.25">
      <c r="A418">
        <v>424</v>
      </c>
      <c r="B418" t="s">
        <v>549</v>
      </c>
      <c r="C418" t="s">
        <v>550</v>
      </c>
      <c r="D418">
        <v>54</v>
      </c>
      <c r="E418" t="s">
        <v>19</v>
      </c>
      <c r="F418" t="s">
        <v>33</v>
      </c>
      <c r="G418" t="s">
        <v>51</v>
      </c>
      <c r="H418" s="10">
        <v>46097.857002314813</v>
      </c>
    </row>
    <row r="419" spans="1:8" x14ac:dyDescent="0.25">
      <c r="A419">
        <v>425</v>
      </c>
      <c r="B419" t="s">
        <v>175</v>
      </c>
      <c r="C419" t="s">
        <v>237</v>
      </c>
      <c r="D419">
        <v>55</v>
      </c>
      <c r="E419" t="s">
        <v>19</v>
      </c>
      <c r="F419" t="s">
        <v>11</v>
      </c>
      <c r="G419" t="s">
        <v>57</v>
      </c>
      <c r="H419" s="10">
        <v>46097.857685185183</v>
      </c>
    </row>
    <row r="420" spans="1:8" x14ac:dyDescent="0.25">
      <c r="A420">
        <v>426</v>
      </c>
      <c r="B420" t="s">
        <v>81</v>
      </c>
      <c r="C420" t="s">
        <v>471</v>
      </c>
      <c r="D420">
        <v>50</v>
      </c>
      <c r="E420" t="s">
        <v>19</v>
      </c>
      <c r="F420" t="s">
        <v>11</v>
      </c>
      <c r="G420" t="s">
        <v>68</v>
      </c>
      <c r="H420" s="10">
        <v>46097.858043981483</v>
      </c>
    </row>
    <row r="421" spans="1:8" x14ac:dyDescent="0.25">
      <c r="A421">
        <v>427</v>
      </c>
      <c r="B421" t="s">
        <v>21</v>
      </c>
      <c r="C421" t="s">
        <v>128</v>
      </c>
      <c r="D421">
        <v>49</v>
      </c>
      <c r="E421" t="s">
        <v>26</v>
      </c>
      <c r="F421" t="s">
        <v>11</v>
      </c>
      <c r="G421" t="s">
        <v>39</v>
      </c>
      <c r="H421" s="10">
        <v>46097.85832175926</v>
      </c>
    </row>
    <row r="422" spans="1:8" x14ac:dyDescent="0.25">
      <c r="A422">
        <v>428</v>
      </c>
      <c r="B422" t="s">
        <v>294</v>
      </c>
      <c r="C422" t="s">
        <v>145</v>
      </c>
      <c r="D422">
        <v>57</v>
      </c>
      <c r="E422" t="s">
        <v>10</v>
      </c>
      <c r="F422" t="s">
        <v>45</v>
      </c>
      <c r="G422" t="s">
        <v>42</v>
      </c>
      <c r="H422" s="10">
        <v>46097.858622685184</v>
      </c>
    </row>
    <row r="423" spans="1:8" x14ac:dyDescent="0.25">
      <c r="A423">
        <v>429</v>
      </c>
      <c r="B423" t="s">
        <v>551</v>
      </c>
      <c r="C423" t="s">
        <v>552</v>
      </c>
      <c r="D423">
        <v>33</v>
      </c>
      <c r="E423" t="s">
        <v>10</v>
      </c>
      <c r="F423" t="s">
        <v>45</v>
      </c>
      <c r="G423" t="s">
        <v>51</v>
      </c>
      <c r="H423" s="10">
        <v>46097.858935185184</v>
      </c>
    </row>
    <row r="424" spans="1:8" x14ac:dyDescent="0.25">
      <c r="A424">
        <v>430</v>
      </c>
      <c r="B424" t="s">
        <v>553</v>
      </c>
      <c r="C424" t="s">
        <v>113</v>
      </c>
      <c r="D424">
        <v>36</v>
      </c>
      <c r="E424" t="s">
        <v>26</v>
      </c>
      <c r="F424" t="s">
        <v>15</v>
      </c>
      <c r="G424" t="s">
        <v>76</v>
      </c>
      <c r="H424" s="10">
        <v>46097.859282407408</v>
      </c>
    </row>
    <row r="425" spans="1:8" x14ac:dyDescent="0.25">
      <c r="A425">
        <v>431</v>
      </c>
      <c r="B425" t="s">
        <v>554</v>
      </c>
      <c r="C425" t="s">
        <v>555</v>
      </c>
      <c r="D425">
        <v>32</v>
      </c>
      <c r="E425" t="s">
        <v>19</v>
      </c>
      <c r="F425" t="s">
        <v>15</v>
      </c>
      <c r="G425" t="s">
        <v>133</v>
      </c>
      <c r="H425" s="10">
        <v>46097.8596875</v>
      </c>
    </row>
    <row r="426" spans="1:8" x14ac:dyDescent="0.25">
      <c r="A426">
        <v>432</v>
      </c>
      <c r="B426" t="s">
        <v>445</v>
      </c>
      <c r="C426" t="s">
        <v>418</v>
      </c>
      <c r="D426">
        <v>63</v>
      </c>
      <c r="E426" t="s">
        <v>26</v>
      </c>
      <c r="F426" t="s">
        <v>73</v>
      </c>
      <c r="G426" t="s">
        <v>76</v>
      </c>
      <c r="H426" s="10">
        <v>46097.860127314816</v>
      </c>
    </row>
    <row r="427" spans="1:8" x14ac:dyDescent="0.25">
      <c r="A427">
        <v>433</v>
      </c>
      <c r="B427" t="s">
        <v>84</v>
      </c>
      <c r="C427" t="s">
        <v>151</v>
      </c>
      <c r="D427">
        <v>50</v>
      </c>
      <c r="E427" t="s">
        <v>19</v>
      </c>
      <c r="F427" t="s">
        <v>29</v>
      </c>
      <c r="G427" t="s">
        <v>130</v>
      </c>
      <c r="H427" s="10">
        <v>46097.860775462963</v>
      </c>
    </row>
    <row r="428" spans="1:8" x14ac:dyDescent="0.25">
      <c r="A428">
        <v>434</v>
      </c>
      <c r="B428" t="s">
        <v>556</v>
      </c>
      <c r="C428" t="s">
        <v>91</v>
      </c>
      <c r="D428">
        <v>70</v>
      </c>
      <c r="E428" t="s">
        <v>26</v>
      </c>
      <c r="F428" t="s">
        <v>29</v>
      </c>
      <c r="G428" t="s">
        <v>80</v>
      </c>
      <c r="H428" s="10">
        <v>46097.861122685186</v>
      </c>
    </row>
    <row r="429" spans="1:8" x14ac:dyDescent="0.25">
      <c r="A429">
        <v>435</v>
      </c>
      <c r="B429" t="s">
        <v>399</v>
      </c>
      <c r="C429" t="s">
        <v>557</v>
      </c>
      <c r="D429">
        <v>66</v>
      </c>
      <c r="E429" t="s">
        <v>10</v>
      </c>
      <c r="F429" t="s">
        <v>73</v>
      </c>
      <c r="G429" t="s">
        <v>114</v>
      </c>
      <c r="H429" s="10">
        <v>46097.861712962964</v>
      </c>
    </row>
    <row r="430" spans="1:8" x14ac:dyDescent="0.25">
      <c r="A430">
        <v>436</v>
      </c>
      <c r="B430" t="s">
        <v>558</v>
      </c>
      <c r="C430" t="s">
        <v>262</v>
      </c>
      <c r="D430">
        <v>28</v>
      </c>
      <c r="E430" t="s">
        <v>19</v>
      </c>
      <c r="F430" t="s">
        <v>20</v>
      </c>
      <c r="G430" t="s">
        <v>130</v>
      </c>
      <c r="H430" s="10">
        <v>46097.862384259257</v>
      </c>
    </row>
    <row r="431" spans="1:8" x14ac:dyDescent="0.25">
      <c r="A431">
        <v>437</v>
      </c>
      <c r="B431" t="s">
        <v>559</v>
      </c>
      <c r="C431" t="s">
        <v>469</v>
      </c>
      <c r="D431">
        <v>66</v>
      </c>
      <c r="E431" t="s">
        <v>10</v>
      </c>
      <c r="F431" t="s">
        <v>73</v>
      </c>
      <c r="G431" t="s">
        <v>68</v>
      </c>
      <c r="H431" s="10">
        <v>46097.862708333334</v>
      </c>
    </row>
    <row r="432" spans="1:8" x14ac:dyDescent="0.25">
      <c r="A432">
        <v>438</v>
      </c>
      <c r="B432" t="s">
        <v>560</v>
      </c>
      <c r="C432" t="s">
        <v>561</v>
      </c>
      <c r="D432">
        <v>38</v>
      </c>
      <c r="E432" t="s">
        <v>10</v>
      </c>
      <c r="F432" t="s">
        <v>45</v>
      </c>
      <c r="G432" t="s">
        <v>51</v>
      </c>
      <c r="H432" s="10">
        <v>46097.863055555557</v>
      </c>
    </row>
    <row r="433" spans="1:8" x14ac:dyDescent="0.25">
      <c r="A433">
        <v>439</v>
      </c>
      <c r="B433" t="s">
        <v>562</v>
      </c>
      <c r="C433" t="s">
        <v>48</v>
      </c>
      <c r="D433">
        <v>22</v>
      </c>
      <c r="E433" t="s">
        <v>26</v>
      </c>
      <c r="F433" t="s">
        <v>15</v>
      </c>
      <c r="G433" t="s">
        <v>12</v>
      </c>
      <c r="H433" s="10">
        <v>46097.863726851851</v>
      </c>
    </row>
    <row r="434" spans="1:8" x14ac:dyDescent="0.25">
      <c r="A434">
        <v>440</v>
      </c>
      <c r="B434" t="s">
        <v>563</v>
      </c>
      <c r="C434" t="s">
        <v>244</v>
      </c>
      <c r="D434">
        <v>32</v>
      </c>
      <c r="E434" t="s">
        <v>10</v>
      </c>
      <c r="F434" t="s">
        <v>45</v>
      </c>
      <c r="G434" t="s">
        <v>57</v>
      </c>
      <c r="H434" s="10">
        <v>46097.863935185182</v>
      </c>
    </row>
    <row r="435" spans="1:8" x14ac:dyDescent="0.25">
      <c r="A435">
        <v>441</v>
      </c>
      <c r="B435" t="s">
        <v>151</v>
      </c>
      <c r="C435" t="s">
        <v>564</v>
      </c>
      <c r="D435">
        <v>64</v>
      </c>
      <c r="E435" t="s">
        <v>26</v>
      </c>
      <c r="F435" t="s">
        <v>33</v>
      </c>
      <c r="G435" t="s">
        <v>54</v>
      </c>
      <c r="H435" s="10">
        <v>46097.864305555559</v>
      </c>
    </row>
    <row r="436" spans="1:8" x14ac:dyDescent="0.25">
      <c r="A436">
        <v>442</v>
      </c>
      <c r="B436" t="s">
        <v>222</v>
      </c>
      <c r="C436" t="s">
        <v>565</v>
      </c>
      <c r="D436">
        <v>69</v>
      </c>
      <c r="E436" t="s">
        <v>19</v>
      </c>
      <c r="F436" t="s">
        <v>73</v>
      </c>
      <c r="G436" t="s">
        <v>57</v>
      </c>
      <c r="H436" s="10">
        <v>46097.864583333336</v>
      </c>
    </row>
    <row r="437" spans="1:8" x14ac:dyDescent="0.25">
      <c r="A437">
        <v>443</v>
      </c>
      <c r="B437" t="s">
        <v>270</v>
      </c>
      <c r="C437" t="s">
        <v>566</v>
      </c>
      <c r="D437">
        <v>42</v>
      </c>
      <c r="E437" t="s">
        <v>19</v>
      </c>
      <c r="F437" t="s">
        <v>73</v>
      </c>
      <c r="G437" t="s">
        <v>42</v>
      </c>
      <c r="H437" s="10">
        <v>46097.864907407406</v>
      </c>
    </row>
    <row r="438" spans="1:8" x14ac:dyDescent="0.25">
      <c r="A438">
        <v>444</v>
      </c>
      <c r="B438" t="s">
        <v>81</v>
      </c>
      <c r="C438" t="s">
        <v>298</v>
      </c>
      <c r="D438">
        <v>40</v>
      </c>
      <c r="E438" t="s">
        <v>26</v>
      </c>
      <c r="F438" t="s">
        <v>45</v>
      </c>
      <c r="G438" t="s">
        <v>30</v>
      </c>
      <c r="H438" s="10">
        <v>46097.865497685183</v>
      </c>
    </row>
    <row r="439" spans="1:8" x14ac:dyDescent="0.25">
      <c r="A439">
        <v>445</v>
      </c>
      <c r="B439" t="s">
        <v>418</v>
      </c>
      <c r="C439" t="s">
        <v>567</v>
      </c>
      <c r="D439">
        <v>45</v>
      </c>
      <c r="E439" t="s">
        <v>10</v>
      </c>
      <c r="F439" t="s">
        <v>45</v>
      </c>
      <c r="G439" t="s">
        <v>57</v>
      </c>
      <c r="H439" s="10">
        <v>46097.865752314814</v>
      </c>
    </row>
    <row r="440" spans="1:8" x14ac:dyDescent="0.25">
      <c r="A440">
        <v>446</v>
      </c>
      <c r="B440" t="s">
        <v>78</v>
      </c>
      <c r="C440" t="s">
        <v>139</v>
      </c>
      <c r="D440">
        <v>50</v>
      </c>
      <c r="E440" t="s">
        <v>19</v>
      </c>
      <c r="F440" t="s">
        <v>11</v>
      </c>
      <c r="G440" t="s">
        <v>70</v>
      </c>
      <c r="H440" s="10">
        <v>46097.866076388891</v>
      </c>
    </row>
    <row r="441" spans="1:8" x14ac:dyDescent="0.25">
      <c r="A441">
        <v>447</v>
      </c>
      <c r="B441" t="s">
        <v>58</v>
      </c>
      <c r="C441" t="s">
        <v>224</v>
      </c>
      <c r="D441">
        <v>31</v>
      </c>
      <c r="E441" t="s">
        <v>26</v>
      </c>
      <c r="F441" t="s">
        <v>45</v>
      </c>
      <c r="G441" t="s">
        <v>133</v>
      </c>
      <c r="H441" s="10">
        <v>46097.866724537038</v>
      </c>
    </row>
    <row r="442" spans="1:8" x14ac:dyDescent="0.25">
      <c r="A442">
        <v>448</v>
      </c>
      <c r="B442" t="s">
        <v>568</v>
      </c>
      <c r="C442" t="s">
        <v>569</v>
      </c>
      <c r="D442">
        <v>67</v>
      </c>
      <c r="E442" t="s">
        <v>19</v>
      </c>
      <c r="F442" t="s">
        <v>33</v>
      </c>
      <c r="G442" t="s">
        <v>36</v>
      </c>
      <c r="H442" s="10">
        <v>46097.867418981485</v>
      </c>
    </row>
    <row r="443" spans="1:8" x14ac:dyDescent="0.25">
      <c r="A443">
        <v>449</v>
      </c>
      <c r="B443" t="s">
        <v>71</v>
      </c>
      <c r="C443" t="s">
        <v>452</v>
      </c>
      <c r="D443">
        <v>53</v>
      </c>
      <c r="E443" t="s">
        <v>26</v>
      </c>
      <c r="F443" t="s">
        <v>73</v>
      </c>
      <c r="G443" t="s">
        <v>57</v>
      </c>
      <c r="H443" s="10">
        <v>46097.86791666667</v>
      </c>
    </row>
    <row r="444" spans="1:8" x14ac:dyDescent="0.25">
      <c r="A444">
        <v>450</v>
      </c>
      <c r="B444" t="s">
        <v>389</v>
      </c>
      <c r="C444" t="s">
        <v>222</v>
      </c>
      <c r="D444">
        <v>24</v>
      </c>
      <c r="E444" t="s">
        <v>19</v>
      </c>
      <c r="F444" t="s">
        <v>45</v>
      </c>
      <c r="G444" t="s">
        <v>70</v>
      </c>
      <c r="H444" s="10">
        <v>46097.868252314816</v>
      </c>
    </row>
    <row r="445" spans="1:8" x14ac:dyDescent="0.25">
      <c r="A445">
        <v>451</v>
      </c>
      <c r="B445" t="s">
        <v>198</v>
      </c>
      <c r="C445" t="s">
        <v>430</v>
      </c>
      <c r="D445">
        <v>55</v>
      </c>
      <c r="E445" t="s">
        <v>26</v>
      </c>
      <c r="F445" t="s">
        <v>33</v>
      </c>
      <c r="G445" t="s">
        <v>30</v>
      </c>
      <c r="H445" s="10">
        <v>46097.868900462963</v>
      </c>
    </row>
    <row r="446" spans="1:8" x14ac:dyDescent="0.25">
      <c r="A446">
        <v>452</v>
      </c>
      <c r="B446" t="s">
        <v>127</v>
      </c>
      <c r="C446" t="s">
        <v>570</v>
      </c>
      <c r="D446">
        <v>45</v>
      </c>
      <c r="E446" t="s">
        <v>10</v>
      </c>
      <c r="F446" t="s">
        <v>20</v>
      </c>
      <c r="G446" t="s">
        <v>16</v>
      </c>
      <c r="H446" s="10">
        <v>46097.869317129633</v>
      </c>
    </row>
    <row r="447" spans="1:8" x14ac:dyDescent="0.25">
      <c r="A447">
        <v>453</v>
      </c>
      <c r="B447" t="s">
        <v>571</v>
      </c>
      <c r="C447" t="s">
        <v>572</v>
      </c>
      <c r="D447">
        <v>28</v>
      </c>
      <c r="E447" t="s">
        <v>10</v>
      </c>
      <c r="F447" t="s">
        <v>20</v>
      </c>
      <c r="G447" t="s">
        <v>57</v>
      </c>
      <c r="H447" s="10">
        <v>46097.869652777779</v>
      </c>
    </row>
    <row r="448" spans="1:8" x14ac:dyDescent="0.25">
      <c r="A448">
        <v>454</v>
      </c>
      <c r="B448" t="s">
        <v>573</v>
      </c>
      <c r="C448" t="s">
        <v>574</v>
      </c>
      <c r="D448">
        <v>22</v>
      </c>
      <c r="E448" t="s">
        <v>26</v>
      </c>
      <c r="F448" t="s">
        <v>11</v>
      </c>
      <c r="G448" t="s">
        <v>39</v>
      </c>
      <c r="H448" s="10">
        <v>46097.870092592595</v>
      </c>
    </row>
    <row r="449" spans="1:8" x14ac:dyDescent="0.25">
      <c r="A449">
        <v>455</v>
      </c>
      <c r="B449" t="s">
        <v>575</v>
      </c>
      <c r="C449" t="s">
        <v>572</v>
      </c>
      <c r="D449">
        <v>35</v>
      </c>
      <c r="E449" t="s">
        <v>26</v>
      </c>
      <c r="F449" t="s">
        <v>45</v>
      </c>
      <c r="G449" t="s">
        <v>46</v>
      </c>
      <c r="H449" s="10">
        <v>46097.870289351849</v>
      </c>
    </row>
    <row r="450" spans="1:8" x14ac:dyDescent="0.25">
      <c r="A450">
        <v>456</v>
      </c>
      <c r="B450" t="s">
        <v>576</v>
      </c>
      <c r="C450" t="s">
        <v>100</v>
      </c>
      <c r="D450">
        <v>63</v>
      </c>
      <c r="E450" t="s">
        <v>19</v>
      </c>
      <c r="F450" t="s">
        <v>20</v>
      </c>
      <c r="G450" t="s">
        <v>16</v>
      </c>
      <c r="H450" s="10">
        <v>46097.870659722219</v>
      </c>
    </row>
    <row r="451" spans="1:8" x14ac:dyDescent="0.25">
      <c r="A451">
        <v>457</v>
      </c>
      <c r="B451" t="s">
        <v>573</v>
      </c>
      <c r="C451" t="s">
        <v>135</v>
      </c>
      <c r="D451">
        <v>69</v>
      </c>
      <c r="E451" t="s">
        <v>19</v>
      </c>
      <c r="F451" t="s">
        <v>11</v>
      </c>
      <c r="G451" t="s">
        <v>57</v>
      </c>
      <c r="H451" s="10">
        <v>46097.871018518519</v>
      </c>
    </row>
    <row r="452" spans="1:8" x14ac:dyDescent="0.25">
      <c r="A452">
        <v>458</v>
      </c>
      <c r="B452" t="s">
        <v>151</v>
      </c>
      <c r="C452" t="s">
        <v>367</v>
      </c>
      <c r="D452">
        <v>28</v>
      </c>
      <c r="E452" t="s">
        <v>10</v>
      </c>
      <c r="F452" t="s">
        <v>73</v>
      </c>
      <c r="G452" t="s">
        <v>57</v>
      </c>
      <c r="H452" s="10">
        <v>46097.871504629627</v>
      </c>
    </row>
    <row r="453" spans="1:8" x14ac:dyDescent="0.25">
      <c r="A453">
        <v>459</v>
      </c>
      <c r="B453" t="s">
        <v>131</v>
      </c>
      <c r="C453" t="s">
        <v>577</v>
      </c>
      <c r="D453">
        <v>23</v>
      </c>
      <c r="E453" t="s">
        <v>19</v>
      </c>
      <c r="F453" t="s">
        <v>45</v>
      </c>
      <c r="G453" t="s">
        <v>99</v>
      </c>
      <c r="H453" s="10">
        <v>46097.872013888889</v>
      </c>
    </row>
    <row r="454" spans="1:8" x14ac:dyDescent="0.25">
      <c r="A454">
        <v>460</v>
      </c>
      <c r="B454" t="s">
        <v>578</v>
      </c>
      <c r="C454" t="s">
        <v>380</v>
      </c>
      <c r="D454">
        <v>63</v>
      </c>
      <c r="E454" t="s">
        <v>26</v>
      </c>
      <c r="F454" t="s">
        <v>73</v>
      </c>
      <c r="G454" t="s">
        <v>133</v>
      </c>
      <c r="H454" s="10">
        <v>46097.87232638889</v>
      </c>
    </row>
    <row r="455" spans="1:8" x14ac:dyDescent="0.25">
      <c r="A455">
        <v>461</v>
      </c>
      <c r="B455" t="s">
        <v>250</v>
      </c>
      <c r="C455" t="s">
        <v>503</v>
      </c>
      <c r="D455">
        <v>61</v>
      </c>
      <c r="E455" t="s">
        <v>19</v>
      </c>
      <c r="F455" t="s">
        <v>29</v>
      </c>
      <c r="G455" t="s">
        <v>76</v>
      </c>
      <c r="H455" s="10">
        <v>46097.872835648152</v>
      </c>
    </row>
    <row r="456" spans="1:8" x14ac:dyDescent="0.25">
      <c r="A456">
        <v>462</v>
      </c>
      <c r="B456" t="s">
        <v>174</v>
      </c>
      <c r="C456" t="s">
        <v>126</v>
      </c>
      <c r="D456">
        <v>40</v>
      </c>
      <c r="E456" t="s">
        <v>26</v>
      </c>
      <c r="F456" t="s">
        <v>45</v>
      </c>
      <c r="G456" t="s">
        <v>70</v>
      </c>
      <c r="H456" s="10">
        <v>46097.873287037037</v>
      </c>
    </row>
    <row r="457" spans="1:8" x14ac:dyDescent="0.25">
      <c r="A457">
        <v>463</v>
      </c>
      <c r="B457" t="s">
        <v>401</v>
      </c>
      <c r="C457" t="s">
        <v>59</v>
      </c>
      <c r="D457">
        <v>47</v>
      </c>
      <c r="E457" t="s">
        <v>10</v>
      </c>
      <c r="F457" t="s">
        <v>45</v>
      </c>
      <c r="G457" t="s">
        <v>51</v>
      </c>
      <c r="H457" s="10">
        <v>46097.873738425929</v>
      </c>
    </row>
    <row r="458" spans="1:8" x14ac:dyDescent="0.25">
      <c r="A458">
        <v>464</v>
      </c>
      <c r="B458" t="s">
        <v>86</v>
      </c>
      <c r="C458" t="s">
        <v>579</v>
      </c>
      <c r="D458">
        <v>65</v>
      </c>
      <c r="E458" t="s">
        <v>10</v>
      </c>
      <c r="F458" t="s">
        <v>20</v>
      </c>
      <c r="G458" t="s">
        <v>80</v>
      </c>
      <c r="H458" s="10">
        <v>46097.874166666668</v>
      </c>
    </row>
    <row r="459" spans="1:8" x14ac:dyDescent="0.25">
      <c r="A459">
        <v>465</v>
      </c>
      <c r="B459" t="s">
        <v>580</v>
      </c>
      <c r="C459" t="s">
        <v>581</v>
      </c>
      <c r="D459">
        <v>54</v>
      </c>
      <c r="E459" t="s">
        <v>19</v>
      </c>
      <c r="F459" t="s">
        <v>11</v>
      </c>
      <c r="G459" t="s">
        <v>42</v>
      </c>
      <c r="H459" s="10">
        <v>46097.874421296299</v>
      </c>
    </row>
    <row r="460" spans="1:8" x14ac:dyDescent="0.25">
      <c r="A460">
        <v>466</v>
      </c>
      <c r="B460" t="s">
        <v>582</v>
      </c>
      <c r="C460" t="s">
        <v>253</v>
      </c>
      <c r="D460">
        <v>30</v>
      </c>
      <c r="E460" t="s">
        <v>10</v>
      </c>
      <c r="F460" t="s">
        <v>29</v>
      </c>
      <c r="G460" t="s">
        <v>16</v>
      </c>
      <c r="H460" s="10">
        <v>46097.874942129631</v>
      </c>
    </row>
    <row r="461" spans="1:8" x14ac:dyDescent="0.25">
      <c r="A461">
        <v>467</v>
      </c>
      <c r="B461" t="s">
        <v>104</v>
      </c>
      <c r="C461" t="s">
        <v>87</v>
      </c>
      <c r="D461">
        <v>38</v>
      </c>
      <c r="E461" t="s">
        <v>26</v>
      </c>
      <c r="F461" t="s">
        <v>20</v>
      </c>
      <c r="G461" t="s">
        <v>51</v>
      </c>
      <c r="H461" s="10">
        <v>46097.875532407408</v>
      </c>
    </row>
    <row r="462" spans="1:8" x14ac:dyDescent="0.25">
      <c r="A462">
        <v>468</v>
      </c>
      <c r="B462" t="s">
        <v>491</v>
      </c>
      <c r="C462" t="s">
        <v>207</v>
      </c>
      <c r="D462">
        <v>58</v>
      </c>
      <c r="E462" t="s">
        <v>26</v>
      </c>
      <c r="F462" t="s">
        <v>73</v>
      </c>
      <c r="G462" t="s">
        <v>54</v>
      </c>
      <c r="H462" s="10">
        <v>46097.876111111109</v>
      </c>
    </row>
    <row r="463" spans="1:8" x14ac:dyDescent="0.25">
      <c r="A463">
        <v>469</v>
      </c>
      <c r="B463" t="s">
        <v>258</v>
      </c>
      <c r="C463" t="s">
        <v>583</v>
      </c>
      <c r="D463">
        <v>58</v>
      </c>
      <c r="E463" t="s">
        <v>10</v>
      </c>
      <c r="F463" t="s">
        <v>20</v>
      </c>
      <c r="G463" t="s">
        <v>65</v>
      </c>
      <c r="H463" s="10">
        <v>46097.876597222225</v>
      </c>
    </row>
    <row r="464" spans="1:8" x14ac:dyDescent="0.25">
      <c r="A464">
        <v>470</v>
      </c>
      <c r="B464" t="s">
        <v>17</v>
      </c>
      <c r="C464" t="s">
        <v>332</v>
      </c>
      <c r="D464">
        <v>50</v>
      </c>
      <c r="E464" t="s">
        <v>19</v>
      </c>
      <c r="F464" t="s">
        <v>29</v>
      </c>
      <c r="G464" t="s">
        <v>70</v>
      </c>
      <c r="H464" s="10">
        <v>46097.877199074072</v>
      </c>
    </row>
    <row r="465" spans="1:8" x14ac:dyDescent="0.25">
      <c r="A465">
        <v>471</v>
      </c>
      <c r="B465" t="s">
        <v>466</v>
      </c>
      <c r="C465" t="s">
        <v>487</v>
      </c>
      <c r="D465">
        <v>21</v>
      </c>
      <c r="E465" t="s">
        <v>19</v>
      </c>
      <c r="F465" t="s">
        <v>20</v>
      </c>
      <c r="G465" t="s">
        <v>57</v>
      </c>
      <c r="H465" s="10">
        <v>46097.877418981479</v>
      </c>
    </row>
    <row r="466" spans="1:8" x14ac:dyDescent="0.25">
      <c r="A466">
        <v>472</v>
      </c>
      <c r="B466" t="s">
        <v>92</v>
      </c>
      <c r="C466" t="s">
        <v>48</v>
      </c>
      <c r="D466">
        <v>21</v>
      </c>
      <c r="E466" t="s">
        <v>26</v>
      </c>
      <c r="F466" t="s">
        <v>15</v>
      </c>
      <c r="G466" t="s">
        <v>16</v>
      </c>
      <c r="H466" s="10">
        <v>46097.877986111111</v>
      </c>
    </row>
    <row r="467" spans="1:8" x14ac:dyDescent="0.25">
      <c r="A467">
        <v>473</v>
      </c>
      <c r="B467" t="s">
        <v>302</v>
      </c>
      <c r="C467" t="s">
        <v>584</v>
      </c>
      <c r="D467">
        <v>22</v>
      </c>
      <c r="E467" t="s">
        <v>26</v>
      </c>
      <c r="F467" t="s">
        <v>45</v>
      </c>
      <c r="G467" t="s">
        <v>68</v>
      </c>
      <c r="H467" s="10">
        <v>46097.878668981481</v>
      </c>
    </row>
    <row r="468" spans="1:8" x14ac:dyDescent="0.25">
      <c r="A468">
        <v>474</v>
      </c>
      <c r="B468" t="s">
        <v>162</v>
      </c>
      <c r="C468" t="s">
        <v>585</v>
      </c>
      <c r="D468">
        <v>33</v>
      </c>
      <c r="E468" t="s">
        <v>19</v>
      </c>
      <c r="F468" t="s">
        <v>73</v>
      </c>
      <c r="G468" t="s">
        <v>130</v>
      </c>
      <c r="H468" s="10">
        <v>46097.878807870373</v>
      </c>
    </row>
    <row r="469" spans="1:8" x14ac:dyDescent="0.25">
      <c r="A469">
        <v>475</v>
      </c>
      <c r="B469" t="s">
        <v>586</v>
      </c>
      <c r="C469" t="s">
        <v>587</v>
      </c>
      <c r="D469">
        <v>31</v>
      </c>
      <c r="E469" t="s">
        <v>26</v>
      </c>
      <c r="F469" t="s">
        <v>33</v>
      </c>
      <c r="G469" t="s">
        <v>12</v>
      </c>
      <c r="H469" s="10">
        <v>46097.879490740743</v>
      </c>
    </row>
    <row r="470" spans="1:8" x14ac:dyDescent="0.25">
      <c r="A470">
        <v>476</v>
      </c>
      <c r="B470" t="s">
        <v>258</v>
      </c>
      <c r="C470" t="s">
        <v>476</v>
      </c>
      <c r="D470">
        <v>27</v>
      </c>
      <c r="E470" t="s">
        <v>19</v>
      </c>
      <c r="F470" t="s">
        <v>45</v>
      </c>
      <c r="G470" t="s">
        <v>130</v>
      </c>
      <c r="H470" s="10">
        <v>46097.879618055558</v>
      </c>
    </row>
    <row r="471" spans="1:8" x14ac:dyDescent="0.25">
      <c r="A471">
        <v>477</v>
      </c>
      <c r="B471" t="s">
        <v>425</v>
      </c>
      <c r="C471" t="s">
        <v>588</v>
      </c>
      <c r="D471">
        <v>61</v>
      </c>
      <c r="E471" t="s">
        <v>26</v>
      </c>
      <c r="F471" t="s">
        <v>15</v>
      </c>
      <c r="G471" t="s">
        <v>54</v>
      </c>
      <c r="H471" s="10">
        <v>46097.880312499998</v>
      </c>
    </row>
    <row r="472" spans="1:8" x14ac:dyDescent="0.25">
      <c r="A472">
        <v>478</v>
      </c>
      <c r="B472" t="s">
        <v>589</v>
      </c>
      <c r="C472" t="s">
        <v>590</v>
      </c>
      <c r="D472">
        <v>26</v>
      </c>
      <c r="E472" t="s">
        <v>10</v>
      </c>
      <c r="F472" t="s">
        <v>73</v>
      </c>
      <c r="G472" t="s">
        <v>68</v>
      </c>
      <c r="H472" s="10">
        <v>46097.880486111113</v>
      </c>
    </row>
    <row r="473" spans="1:8" x14ac:dyDescent="0.25">
      <c r="A473">
        <v>479</v>
      </c>
      <c r="B473" t="s">
        <v>62</v>
      </c>
      <c r="C473" t="s">
        <v>367</v>
      </c>
      <c r="D473">
        <v>54</v>
      </c>
      <c r="E473" t="s">
        <v>10</v>
      </c>
      <c r="F473" t="s">
        <v>29</v>
      </c>
      <c r="G473" t="s">
        <v>23</v>
      </c>
      <c r="H473" s="10">
        <v>46097.88071759259</v>
      </c>
    </row>
    <row r="474" spans="1:8" x14ac:dyDescent="0.25">
      <c r="A474">
        <v>480</v>
      </c>
      <c r="B474" t="s">
        <v>468</v>
      </c>
      <c r="C474" t="s">
        <v>517</v>
      </c>
      <c r="D474">
        <v>23</v>
      </c>
      <c r="E474" t="s">
        <v>26</v>
      </c>
      <c r="F474" t="s">
        <v>73</v>
      </c>
      <c r="G474" t="s">
        <v>46</v>
      </c>
      <c r="H474" s="10">
        <v>46097.881342592591</v>
      </c>
    </row>
    <row r="475" spans="1:8" x14ac:dyDescent="0.25">
      <c r="A475">
        <v>481</v>
      </c>
      <c r="B475" t="s">
        <v>34</v>
      </c>
      <c r="C475" t="s">
        <v>273</v>
      </c>
      <c r="D475">
        <v>32</v>
      </c>
      <c r="E475" t="s">
        <v>26</v>
      </c>
      <c r="F475" t="s">
        <v>73</v>
      </c>
      <c r="G475" t="s">
        <v>23</v>
      </c>
      <c r="H475" s="10">
        <v>46097.881597222222</v>
      </c>
    </row>
    <row r="476" spans="1:8" x14ac:dyDescent="0.25">
      <c r="A476">
        <v>482</v>
      </c>
      <c r="B476" t="s">
        <v>199</v>
      </c>
      <c r="C476" t="s">
        <v>591</v>
      </c>
      <c r="D476">
        <v>31</v>
      </c>
      <c r="E476" t="s">
        <v>26</v>
      </c>
      <c r="F476" t="s">
        <v>45</v>
      </c>
      <c r="G476" t="s">
        <v>23</v>
      </c>
      <c r="H476" s="10">
        <v>46097.881793981483</v>
      </c>
    </row>
    <row r="477" spans="1:8" x14ac:dyDescent="0.25">
      <c r="A477">
        <v>483</v>
      </c>
      <c r="B477" t="s">
        <v>234</v>
      </c>
      <c r="C477" t="s">
        <v>592</v>
      </c>
      <c r="D477">
        <v>60</v>
      </c>
      <c r="E477" t="s">
        <v>26</v>
      </c>
      <c r="F477" t="s">
        <v>73</v>
      </c>
      <c r="G477" t="s">
        <v>57</v>
      </c>
      <c r="H477" s="10">
        <v>46097.882025462961</v>
      </c>
    </row>
    <row r="478" spans="1:8" x14ac:dyDescent="0.25">
      <c r="A478">
        <v>484</v>
      </c>
      <c r="B478" t="s">
        <v>593</v>
      </c>
      <c r="C478" t="s">
        <v>594</v>
      </c>
      <c r="D478">
        <v>22</v>
      </c>
      <c r="E478" t="s">
        <v>26</v>
      </c>
      <c r="F478" t="s">
        <v>11</v>
      </c>
      <c r="G478" t="s">
        <v>46</v>
      </c>
      <c r="H478" s="10">
        <v>46097.882650462961</v>
      </c>
    </row>
    <row r="479" spans="1:8" x14ac:dyDescent="0.25">
      <c r="A479">
        <v>485</v>
      </c>
      <c r="B479" t="s">
        <v>131</v>
      </c>
      <c r="C479" t="s">
        <v>595</v>
      </c>
      <c r="D479">
        <v>63</v>
      </c>
      <c r="E479" t="s">
        <v>10</v>
      </c>
      <c r="F479" t="s">
        <v>11</v>
      </c>
      <c r="G479" t="s">
        <v>57</v>
      </c>
      <c r="H479" s="10">
        <v>46097.8828125</v>
      </c>
    </row>
    <row r="480" spans="1:8" x14ac:dyDescent="0.25">
      <c r="A480">
        <v>486</v>
      </c>
      <c r="B480" t="s">
        <v>596</v>
      </c>
      <c r="C480" t="s">
        <v>597</v>
      </c>
      <c r="D480">
        <v>60</v>
      </c>
      <c r="E480" t="s">
        <v>19</v>
      </c>
      <c r="F480" t="s">
        <v>33</v>
      </c>
      <c r="G480" t="s">
        <v>16</v>
      </c>
      <c r="H480" s="10">
        <v>46097.883275462962</v>
      </c>
    </row>
    <row r="481" spans="1:8" x14ac:dyDescent="0.25">
      <c r="A481">
        <v>487</v>
      </c>
      <c r="B481" t="s">
        <v>62</v>
      </c>
      <c r="C481" t="s">
        <v>598</v>
      </c>
      <c r="D481">
        <v>38</v>
      </c>
      <c r="E481" t="s">
        <v>26</v>
      </c>
      <c r="F481" t="s">
        <v>33</v>
      </c>
      <c r="G481" t="s">
        <v>12</v>
      </c>
      <c r="H481" s="10">
        <v>46097.883784722224</v>
      </c>
    </row>
    <row r="482" spans="1:8" x14ac:dyDescent="0.25">
      <c r="A482">
        <v>488</v>
      </c>
      <c r="B482" t="s">
        <v>127</v>
      </c>
      <c r="C482" t="s">
        <v>379</v>
      </c>
      <c r="D482">
        <v>29</v>
      </c>
      <c r="E482" t="s">
        <v>26</v>
      </c>
      <c r="F482" t="s">
        <v>11</v>
      </c>
      <c r="G482" t="s">
        <v>133</v>
      </c>
      <c r="H482" s="10">
        <v>46097.883981481478</v>
      </c>
    </row>
    <row r="483" spans="1:8" x14ac:dyDescent="0.25">
      <c r="A483">
        <v>489</v>
      </c>
      <c r="B483" t="s">
        <v>599</v>
      </c>
      <c r="C483" t="s">
        <v>600</v>
      </c>
      <c r="D483">
        <v>35</v>
      </c>
      <c r="E483" t="s">
        <v>10</v>
      </c>
      <c r="F483" t="s">
        <v>33</v>
      </c>
      <c r="G483" t="s">
        <v>46</v>
      </c>
      <c r="H483" s="10">
        <v>46097.884201388886</v>
      </c>
    </row>
    <row r="484" spans="1:8" x14ac:dyDescent="0.25">
      <c r="A484">
        <v>490</v>
      </c>
      <c r="B484" t="s">
        <v>601</v>
      </c>
      <c r="C484" t="s">
        <v>430</v>
      </c>
      <c r="D484">
        <v>31</v>
      </c>
      <c r="E484" t="s">
        <v>10</v>
      </c>
      <c r="F484" t="s">
        <v>11</v>
      </c>
      <c r="G484" t="s">
        <v>46</v>
      </c>
      <c r="H484" s="10">
        <v>46097.884733796294</v>
      </c>
    </row>
    <row r="485" spans="1:8" x14ac:dyDescent="0.25">
      <c r="A485">
        <v>491</v>
      </c>
      <c r="B485" t="s">
        <v>388</v>
      </c>
      <c r="C485" t="s">
        <v>602</v>
      </c>
      <c r="D485">
        <v>37</v>
      </c>
      <c r="E485" t="s">
        <v>26</v>
      </c>
      <c r="F485" t="s">
        <v>29</v>
      </c>
      <c r="G485" t="s">
        <v>80</v>
      </c>
      <c r="H485" s="10">
        <v>46097.885138888887</v>
      </c>
    </row>
    <row r="486" spans="1:8" x14ac:dyDescent="0.25">
      <c r="A486">
        <v>492</v>
      </c>
      <c r="B486" t="s">
        <v>603</v>
      </c>
      <c r="C486" t="s">
        <v>604</v>
      </c>
      <c r="D486">
        <v>64</v>
      </c>
      <c r="E486" t="s">
        <v>19</v>
      </c>
      <c r="F486" t="s">
        <v>33</v>
      </c>
      <c r="G486" t="s">
        <v>12</v>
      </c>
      <c r="H486" s="10">
        <v>46097.88548611111</v>
      </c>
    </row>
    <row r="487" spans="1:8" x14ac:dyDescent="0.25">
      <c r="A487">
        <v>493</v>
      </c>
      <c r="B487" t="s">
        <v>605</v>
      </c>
      <c r="C487" t="s">
        <v>18</v>
      </c>
      <c r="D487">
        <v>26</v>
      </c>
      <c r="E487" t="s">
        <v>10</v>
      </c>
      <c r="F487" t="s">
        <v>73</v>
      </c>
      <c r="G487" t="s">
        <v>68</v>
      </c>
      <c r="H487" s="10">
        <v>46097.885636574072</v>
      </c>
    </row>
    <row r="488" spans="1:8" x14ac:dyDescent="0.25">
      <c r="A488">
        <v>494</v>
      </c>
      <c r="B488" t="s">
        <v>606</v>
      </c>
      <c r="C488" t="s">
        <v>607</v>
      </c>
      <c r="D488">
        <v>46</v>
      </c>
      <c r="E488" t="s">
        <v>19</v>
      </c>
      <c r="F488" t="s">
        <v>73</v>
      </c>
      <c r="G488" t="s">
        <v>36</v>
      </c>
      <c r="H488" s="10">
        <v>46097.885995370372</v>
      </c>
    </row>
    <row r="489" spans="1:8" x14ac:dyDescent="0.25">
      <c r="A489">
        <v>495</v>
      </c>
      <c r="B489" t="s">
        <v>88</v>
      </c>
      <c r="C489" t="s">
        <v>194</v>
      </c>
      <c r="D489">
        <v>65</v>
      </c>
      <c r="E489" t="s">
        <v>19</v>
      </c>
      <c r="F489" t="s">
        <v>20</v>
      </c>
      <c r="G489" t="s">
        <v>76</v>
      </c>
      <c r="H489" s="10">
        <v>46097.886643518519</v>
      </c>
    </row>
    <row r="490" spans="1:8" x14ac:dyDescent="0.25">
      <c r="A490">
        <v>496</v>
      </c>
      <c r="B490" t="s">
        <v>199</v>
      </c>
      <c r="C490" t="s">
        <v>191</v>
      </c>
      <c r="D490">
        <v>68</v>
      </c>
      <c r="E490" t="s">
        <v>10</v>
      </c>
      <c r="F490" t="s">
        <v>15</v>
      </c>
      <c r="G490" t="s">
        <v>76</v>
      </c>
      <c r="H490" s="10">
        <v>46097.887256944443</v>
      </c>
    </row>
    <row r="491" spans="1:8" x14ac:dyDescent="0.25">
      <c r="A491">
        <v>497</v>
      </c>
      <c r="B491" t="s">
        <v>199</v>
      </c>
      <c r="C491" t="s">
        <v>360</v>
      </c>
      <c r="D491">
        <v>37</v>
      </c>
      <c r="E491" t="s">
        <v>10</v>
      </c>
      <c r="F491" t="s">
        <v>20</v>
      </c>
      <c r="G491" t="s">
        <v>57</v>
      </c>
      <c r="H491" s="10">
        <v>46097.887418981481</v>
      </c>
    </row>
    <row r="492" spans="1:8" x14ac:dyDescent="0.25">
      <c r="A492">
        <v>498</v>
      </c>
      <c r="B492" t="s">
        <v>437</v>
      </c>
      <c r="C492" t="s">
        <v>608</v>
      </c>
      <c r="D492">
        <v>44</v>
      </c>
      <c r="E492" t="s">
        <v>10</v>
      </c>
      <c r="F492" t="s">
        <v>11</v>
      </c>
      <c r="G492" t="s">
        <v>99</v>
      </c>
      <c r="H492" s="10">
        <v>46097.887939814813</v>
      </c>
    </row>
    <row r="493" spans="1:8" x14ac:dyDescent="0.25">
      <c r="A493">
        <v>499</v>
      </c>
      <c r="B493" t="s">
        <v>149</v>
      </c>
      <c r="C493" t="s">
        <v>609</v>
      </c>
      <c r="D493">
        <v>68</v>
      </c>
      <c r="E493" t="s">
        <v>19</v>
      </c>
      <c r="F493" t="s">
        <v>15</v>
      </c>
      <c r="G493" t="s">
        <v>57</v>
      </c>
      <c r="H493" s="10">
        <v>46097.888518518521</v>
      </c>
    </row>
    <row r="494" spans="1:8" x14ac:dyDescent="0.25">
      <c r="A494">
        <v>500</v>
      </c>
      <c r="B494" t="s">
        <v>610</v>
      </c>
      <c r="C494" t="s">
        <v>611</v>
      </c>
      <c r="D494">
        <v>27</v>
      </c>
      <c r="E494" t="s">
        <v>10</v>
      </c>
      <c r="F494" t="s">
        <v>73</v>
      </c>
      <c r="G494" t="s">
        <v>57</v>
      </c>
      <c r="H494" s="10">
        <v>46097.889108796298</v>
      </c>
    </row>
    <row r="495" spans="1:8" x14ac:dyDescent="0.25">
      <c r="A495">
        <v>501</v>
      </c>
      <c r="B495" t="s">
        <v>13</v>
      </c>
      <c r="C495" t="s">
        <v>612</v>
      </c>
      <c r="D495">
        <v>19</v>
      </c>
      <c r="E495" t="s">
        <v>10</v>
      </c>
      <c r="F495" t="s">
        <v>11</v>
      </c>
      <c r="G495" t="s">
        <v>70</v>
      </c>
      <c r="H495" s="10">
        <v>46097.889456018522</v>
      </c>
    </row>
    <row r="496" spans="1:8" x14ac:dyDescent="0.25">
      <c r="A496">
        <v>502</v>
      </c>
      <c r="B496" t="s">
        <v>401</v>
      </c>
      <c r="C496" t="s">
        <v>77</v>
      </c>
      <c r="D496">
        <v>65</v>
      </c>
      <c r="E496" t="s">
        <v>26</v>
      </c>
      <c r="F496" t="s">
        <v>73</v>
      </c>
      <c r="G496" t="s">
        <v>70</v>
      </c>
      <c r="H496" s="10">
        <v>46097.890057870369</v>
      </c>
    </row>
    <row r="497" spans="1:8" x14ac:dyDescent="0.25">
      <c r="A497">
        <v>503</v>
      </c>
      <c r="B497" t="s">
        <v>613</v>
      </c>
      <c r="C497" t="s">
        <v>128</v>
      </c>
      <c r="D497">
        <v>56</v>
      </c>
      <c r="E497" t="s">
        <v>10</v>
      </c>
      <c r="F497" t="s">
        <v>15</v>
      </c>
      <c r="G497" t="s">
        <v>39</v>
      </c>
      <c r="H497" s="10">
        <v>46097.890555555554</v>
      </c>
    </row>
    <row r="498" spans="1:8" x14ac:dyDescent="0.25">
      <c r="A498">
        <v>504</v>
      </c>
      <c r="B498" t="s">
        <v>614</v>
      </c>
      <c r="C498" t="s">
        <v>471</v>
      </c>
      <c r="D498">
        <v>36</v>
      </c>
      <c r="E498" t="s">
        <v>19</v>
      </c>
      <c r="F498" t="s">
        <v>45</v>
      </c>
      <c r="G498" t="s">
        <v>114</v>
      </c>
      <c r="H498" s="10">
        <v>46097.890706018516</v>
      </c>
    </row>
    <row r="499" spans="1:8" x14ac:dyDescent="0.25">
      <c r="A499">
        <v>505</v>
      </c>
      <c r="B499" t="s">
        <v>615</v>
      </c>
      <c r="C499" t="s">
        <v>101</v>
      </c>
      <c r="D499">
        <v>38</v>
      </c>
      <c r="E499" t="s">
        <v>19</v>
      </c>
      <c r="F499" t="s">
        <v>15</v>
      </c>
      <c r="G499" t="s">
        <v>54</v>
      </c>
      <c r="H499" s="10">
        <v>46097.891006944446</v>
      </c>
    </row>
    <row r="500" spans="1:8" x14ac:dyDescent="0.25">
      <c r="A500">
        <v>506</v>
      </c>
      <c r="B500" t="s">
        <v>167</v>
      </c>
      <c r="C500" t="s">
        <v>113</v>
      </c>
      <c r="D500">
        <v>63</v>
      </c>
      <c r="E500" t="s">
        <v>26</v>
      </c>
      <c r="F500" t="s">
        <v>73</v>
      </c>
      <c r="G500" t="s">
        <v>70</v>
      </c>
      <c r="H500" s="10">
        <v>46097.891122685185</v>
      </c>
    </row>
    <row r="501" spans="1:8" x14ac:dyDescent="0.25">
      <c r="A501">
        <v>507</v>
      </c>
      <c r="B501" t="s">
        <v>43</v>
      </c>
      <c r="C501" t="s">
        <v>478</v>
      </c>
      <c r="D501">
        <v>67</v>
      </c>
      <c r="E501" t="s">
        <v>26</v>
      </c>
      <c r="F501" t="s">
        <v>33</v>
      </c>
      <c r="G501" t="s">
        <v>30</v>
      </c>
      <c r="H501" s="10">
        <v>46097.891689814816</v>
      </c>
    </row>
    <row r="502" spans="1:8" x14ac:dyDescent="0.25">
      <c r="A502">
        <v>508</v>
      </c>
      <c r="B502" t="s">
        <v>267</v>
      </c>
      <c r="C502" t="s">
        <v>132</v>
      </c>
      <c r="D502">
        <v>67</v>
      </c>
      <c r="E502" t="s">
        <v>10</v>
      </c>
      <c r="F502" t="s">
        <v>33</v>
      </c>
      <c r="G502" t="s">
        <v>133</v>
      </c>
      <c r="H502" s="10">
        <v>46112.597453703704</v>
      </c>
    </row>
    <row r="503" spans="1:8" x14ac:dyDescent="0.25">
      <c r="A503">
        <v>509</v>
      </c>
      <c r="B503" t="s">
        <v>78</v>
      </c>
      <c r="C503" t="s">
        <v>139</v>
      </c>
      <c r="D503">
        <v>42</v>
      </c>
      <c r="E503" t="s">
        <v>19</v>
      </c>
      <c r="F503" t="s">
        <v>73</v>
      </c>
      <c r="G503" t="s">
        <v>42</v>
      </c>
      <c r="H503" s="10">
        <v>46112.598136574074</v>
      </c>
    </row>
    <row r="504" spans="1:8" x14ac:dyDescent="0.25">
      <c r="A504">
        <v>510</v>
      </c>
      <c r="B504" t="s">
        <v>97</v>
      </c>
      <c r="C504" t="s">
        <v>25</v>
      </c>
      <c r="D504">
        <v>27</v>
      </c>
      <c r="E504" t="s">
        <v>26</v>
      </c>
      <c r="F504" t="s">
        <v>29</v>
      </c>
      <c r="G504" t="s">
        <v>99</v>
      </c>
      <c r="H504" s="10">
        <v>46112.598796296297</v>
      </c>
    </row>
    <row r="505" spans="1:8" x14ac:dyDescent="0.25">
      <c r="A505">
        <v>511</v>
      </c>
      <c r="B505" t="s">
        <v>616</v>
      </c>
      <c r="C505" t="s">
        <v>617</v>
      </c>
      <c r="D505">
        <v>32</v>
      </c>
      <c r="E505" t="s">
        <v>26</v>
      </c>
      <c r="F505" t="s">
        <v>29</v>
      </c>
      <c r="G505" t="s">
        <v>12</v>
      </c>
      <c r="H505" s="10">
        <v>46112.599444444444</v>
      </c>
    </row>
    <row r="506" spans="1:8" x14ac:dyDescent="0.25">
      <c r="A506">
        <v>512</v>
      </c>
      <c r="B506" t="s">
        <v>440</v>
      </c>
      <c r="C506" t="s">
        <v>139</v>
      </c>
      <c r="D506">
        <v>70</v>
      </c>
      <c r="E506" t="s">
        <v>26</v>
      </c>
      <c r="F506" t="s">
        <v>15</v>
      </c>
      <c r="G506" t="s">
        <v>23</v>
      </c>
      <c r="H506" s="10">
        <v>46112.599953703706</v>
      </c>
    </row>
    <row r="507" spans="1:8" x14ac:dyDescent="0.25">
      <c r="A507">
        <v>513</v>
      </c>
      <c r="B507" t="s">
        <v>104</v>
      </c>
      <c r="C507" t="s">
        <v>273</v>
      </c>
      <c r="D507">
        <v>69</v>
      </c>
      <c r="E507" t="s">
        <v>26</v>
      </c>
      <c r="F507" t="s">
        <v>45</v>
      </c>
      <c r="G507" t="s">
        <v>51</v>
      </c>
      <c r="H507" s="10">
        <v>46112.60050925926</v>
      </c>
    </row>
    <row r="508" spans="1:8" x14ac:dyDescent="0.25">
      <c r="A508">
        <v>514</v>
      </c>
      <c r="B508" t="s">
        <v>250</v>
      </c>
      <c r="C508" t="s">
        <v>367</v>
      </c>
      <c r="D508">
        <v>61</v>
      </c>
      <c r="E508" t="s">
        <v>10</v>
      </c>
      <c r="F508" t="s">
        <v>45</v>
      </c>
      <c r="G508" t="s">
        <v>51</v>
      </c>
      <c r="H508" s="10">
        <v>46112.601076388892</v>
      </c>
    </row>
    <row r="509" spans="1:8" x14ac:dyDescent="0.25">
      <c r="A509">
        <v>515</v>
      </c>
      <c r="B509" t="s">
        <v>160</v>
      </c>
      <c r="C509" t="s">
        <v>572</v>
      </c>
      <c r="D509">
        <v>28</v>
      </c>
      <c r="E509" t="s">
        <v>26</v>
      </c>
      <c r="F509" t="s">
        <v>20</v>
      </c>
      <c r="G509" t="s">
        <v>99</v>
      </c>
      <c r="H509" s="10">
        <v>46112.601365740738</v>
      </c>
    </row>
    <row r="510" spans="1:8" x14ac:dyDescent="0.25">
      <c r="A510">
        <v>516</v>
      </c>
      <c r="B510" t="s">
        <v>302</v>
      </c>
      <c r="C510" t="s">
        <v>618</v>
      </c>
      <c r="D510">
        <v>48</v>
      </c>
      <c r="E510" t="s">
        <v>26</v>
      </c>
      <c r="F510" t="s">
        <v>29</v>
      </c>
      <c r="G510" t="s">
        <v>16</v>
      </c>
      <c r="H510" s="10">
        <v>46112.601921296293</v>
      </c>
    </row>
    <row r="511" spans="1:8" x14ac:dyDescent="0.25">
      <c r="A511">
        <v>517</v>
      </c>
      <c r="B511" t="s">
        <v>606</v>
      </c>
      <c r="C511" t="s">
        <v>572</v>
      </c>
      <c r="D511">
        <v>59</v>
      </c>
      <c r="E511" t="s">
        <v>10</v>
      </c>
      <c r="F511" t="s">
        <v>11</v>
      </c>
      <c r="G511" t="s">
        <v>23</v>
      </c>
      <c r="H511" s="10">
        <v>46112.602835648147</v>
      </c>
    </row>
    <row r="512" spans="1:8" x14ac:dyDescent="0.25">
      <c r="A512">
        <v>518</v>
      </c>
      <c r="B512" t="s">
        <v>573</v>
      </c>
      <c r="C512" t="s">
        <v>222</v>
      </c>
      <c r="D512">
        <v>48</v>
      </c>
      <c r="E512" t="s">
        <v>10</v>
      </c>
      <c r="F512" t="s">
        <v>33</v>
      </c>
      <c r="G512" t="s">
        <v>133</v>
      </c>
      <c r="H512" s="10">
        <v>46112.603171296294</v>
      </c>
    </row>
    <row r="513" spans="1:8" x14ac:dyDescent="0.25">
      <c r="A513">
        <v>519</v>
      </c>
      <c r="B513" t="s">
        <v>246</v>
      </c>
      <c r="C513" t="s">
        <v>619</v>
      </c>
      <c r="D513">
        <v>31</v>
      </c>
      <c r="E513" t="s">
        <v>10</v>
      </c>
      <c r="F513" t="s">
        <v>45</v>
      </c>
      <c r="G513" t="s">
        <v>57</v>
      </c>
      <c r="H513" s="10">
        <v>46112.624212962961</v>
      </c>
    </row>
    <row r="514" spans="1:8" x14ac:dyDescent="0.25">
      <c r="A514">
        <v>520</v>
      </c>
      <c r="B514" t="s">
        <v>151</v>
      </c>
      <c r="C514" t="s">
        <v>620</v>
      </c>
      <c r="D514">
        <v>24</v>
      </c>
      <c r="E514" t="s">
        <v>19</v>
      </c>
      <c r="F514" t="s">
        <v>73</v>
      </c>
      <c r="G514" t="s">
        <v>54</v>
      </c>
      <c r="H514" s="10">
        <v>46112.71539351852</v>
      </c>
    </row>
    <row r="515" spans="1:8" x14ac:dyDescent="0.25">
      <c r="A515">
        <v>521</v>
      </c>
      <c r="B515" t="s">
        <v>268</v>
      </c>
      <c r="C515" t="s">
        <v>103</v>
      </c>
      <c r="D515">
        <v>31</v>
      </c>
      <c r="E515" t="s">
        <v>26</v>
      </c>
      <c r="F515" t="s">
        <v>15</v>
      </c>
      <c r="G515" t="s">
        <v>54</v>
      </c>
      <c r="H515" s="10">
        <v>46112.738449074073</v>
      </c>
    </row>
    <row r="516" spans="1:8" x14ac:dyDescent="0.25">
      <c r="A516">
        <v>522</v>
      </c>
      <c r="B516" t="s">
        <v>17</v>
      </c>
      <c r="C516" t="s">
        <v>176</v>
      </c>
      <c r="D516">
        <v>62</v>
      </c>
      <c r="E516" t="s">
        <v>26</v>
      </c>
      <c r="F516" t="s">
        <v>15</v>
      </c>
      <c r="G516" t="s">
        <v>23</v>
      </c>
      <c r="H516" s="10">
        <v>46112.738657407404</v>
      </c>
    </row>
    <row r="517" spans="1:8" x14ac:dyDescent="0.25">
      <c r="A517">
        <v>523</v>
      </c>
      <c r="B517" t="s">
        <v>621</v>
      </c>
      <c r="C517" t="s">
        <v>308</v>
      </c>
      <c r="D517">
        <v>48</v>
      </c>
      <c r="E517" t="s">
        <v>26</v>
      </c>
      <c r="F517" t="s">
        <v>29</v>
      </c>
      <c r="G517" t="s">
        <v>39</v>
      </c>
      <c r="H517" s="10">
        <v>46112.739039351851</v>
      </c>
    </row>
    <row r="518" spans="1:8" x14ac:dyDescent="0.25">
      <c r="A518">
        <v>524</v>
      </c>
      <c r="B518" t="s">
        <v>84</v>
      </c>
      <c r="C518" t="s">
        <v>622</v>
      </c>
      <c r="D518">
        <v>68</v>
      </c>
      <c r="E518" t="s">
        <v>10</v>
      </c>
      <c r="F518" t="s">
        <v>29</v>
      </c>
      <c r="G518" t="s">
        <v>54</v>
      </c>
      <c r="H518" s="10">
        <v>46112.739664351851</v>
      </c>
    </row>
    <row r="519" spans="1:8" x14ac:dyDescent="0.25">
      <c r="A519">
        <v>525</v>
      </c>
      <c r="B519" t="s">
        <v>290</v>
      </c>
      <c r="C519" t="s">
        <v>135</v>
      </c>
      <c r="D519">
        <v>20</v>
      </c>
      <c r="E519" t="s">
        <v>19</v>
      </c>
      <c r="F519" t="s">
        <v>33</v>
      </c>
      <c r="G519" t="s">
        <v>70</v>
      </c>
      <c r="H519" s="10">
        <v>46112.74015046296</v>
      </c>
    </row>
    <row r="520" spans="1:8" x14ac:dyDescent="0.25">
      <c r="A520">
        <v>526</v>
      </c>
      <c r="B520" t="s">
        <v>221</v>
      </c>
      <c r="C520" t="s">
        <v>348</v>
      </c>
      <c r="D520">
        <v>47</v>
      </c>
      <c r="E520" t="s">
        <v>10</v>
      </c>
      <c r="F520" t="s">
        <v>45</v>
      </c>
      <c r="G520" t="s">
        <v>30</v>
      </c>
      <c r="H520" s="10">
        <v>46112.740347222221</v>
      </c>
    </row>
    <row r="521" spans="1:8" x14ac:dyDescent="0.25">
      <c r="A521">
        <v>527</v>
      </c>
      <c r="B521" t="s">
        <v>96</v>
      </c>
      <c r="C521" t="s">
        <v>623</v>
      </c>
      <c r="D521">
        <v>20</v>
      </c>
      <c r="E521" t="s">
        <v>26</v>
      </c>
      <c r="F521" t="s">
        <v>33</v>
      </c>
      <c r="G521" t="s">
        <v>51</v>
      </c>
      <c r="H521" s="10">
        <v>46112.740555555552</v>
      </c>
    </row>
    <row r="522" spans="1:8" x14ac:dyDescent="0.25">
      <c r="A522">
        <v>528</v>
      </c>
      <c r="B522" t="s">
        <v>558</v>
      </c>
      <c r="C522" t="s">
        <v>176</v>
      </c>
      <c r="D522">
        <v>55</v>
      </c>
      <c r="E522" t="s">
        <v>19</v>
      </c>
      <c r="F522" t="s">
        <v>15</v>
      </c>
      <c r="G522" t="s">
        <v>114</v>
      </c>
      <c r="H522" s="10">
        <v>46112.741157407407</v>
      </c>
    </row>
    <row r="523" spans="1:8" x14ac:dyDescent="0.25">
      <c r="A523">
        <v>529</v>
      </c>
      <c r="B523" t="s">
        <v>445</v>
      </c>
      <c r="C523" t="s">
        <v>494</v>
      </c>
      <c r="D523">
        <v>61</v>
      </c>
      <c r="E523" t="s">
        <v>26</v>
      </c>
      <c r="F523" t="s">
        <v>33</v>
      </c>
      <c r="G523" t="s">
        <v>12</v>
      </c>
      <c r="H523" s="10">
        <v>46112.741585648146</v>
      </c>
    </row>
    <row r="524" spans="1:8" x14ac:dyDescent="0.25">
      <c r="A524">
        <v>530</v>
      </c>
      <c r="B524" t="s">
        <v>624</v>
      </c>
      <c r="C524" t="s">
        <v>625</v>
      </c>
      <c r="D524">
        <v>66</v>
      </c>
      <c r="E524" t="s">
        <v>26</v>
      </c>
      <c r="F524" t="s">
        <v>29</v>
      </c>
      <c r="G524" t="s">
        <v>57</v>
      </c>
      <c r="H524" s="10">
        <v>46112.7422337963</v>
      </c>
    </row>
    <row r="525" spans="1:8" x14ac:dyDescent="0.25">
      <c r="A525">
        <v>531</v>
      </c>
      <c r="B525" t="s">
        <v>497</v>
      </c>
      <c r="C525" t="s">
        <v>626</v>
      </c>
      <c r="D525">
        <v>20</v>
      </c>
      <c r="E525" t="s">
        <v>19</v>
      </c>
      <c r="F525" t="s">
        <v>11</v>
      </c>
      <c r="G525" t="s">
        <v>130</v>
      </c>
      <c r="H525" s="10">
        <v>46112.742546296293</v>
      </c>
    </row>
    <row r="526" spans="1:8" x14ac:dyDescent="0.25">
      <c r="A526">
        <v>532</v>
      </c>
      <c r="B526" t="s">
        <v>110</v>
      </c>
      <c r="C526" t="s">
        <v>135</v>
      </c>
      <c r="D526">
        <v>60</v>
      </c>
      <c r="E526" t="s">
        <v>26</v>
      </c>
      <c r="F526" t="s">
        <v>29</v>
      </c>
      <c r="G526" t="s">
        <v>133</v>
      </c>
      <c r="H526" s="10">
        <v>46112.742881944447</v>
      </c>
    </row>
    <row r="527" spans="1:8" x14ac:dyDescent="0.25">
      <c r="A527">
        <v>533</v>
      </c>
      <c r="B527" t="s">
        <v>74</v>
      </c>
      <c r="C527" t="s">
        <v>135</v>
      </c>
      <c r="D527">
        <v>26</v>
      </c>
      <c r="E527" t="s">
        <v>19</v>
      </c>
      <c r="F527" t="s">
        <v>33</v>
      </c>
      <c r="G527" t="s">
        <v>12</v>
      </c>
      <c r="H527" s="10">
        <v>46112.743067129632</v>
      </c>
    </row>
    <row r="528" spans="1:8" x14ac:dyDescent="0.25">
      <c r="A528">
        <v>534</v>
      </c>
      <c r="B528" t="s">
        <v>262</v>
      </c>
      <c r="C528" t="s">
        <v>627</v>
      </c>
      <c r="D528">
        <v>34</v>
      </c>
      <c r="E528" t="s">
        <v>19</v>
      </c>
      <c r="F528" t="s">
        <v>20</v>
      </c>
      <c r="G528" t="s">
        <v>12</v>
      </c>
      <c r="H528" s="10">
        <v>46112.74322916667</v>
      </c>
    </row>
    <row r="529" spans="1:8" x14ac:dyDescent="0.25">
      <c r="A529">
        <v>535</v>
      </c>
      <c r="B529" t="s">
        <v>131</v>
      </c>
      <c r="C529" t="s">
        <v>628</v>
      </c>
      <c r="D529">
        <v>63</v>
      </c>
      <c r="E529" t="s">
        <v>10</v>
      </c>
      <c r="F529" t="s">
        <v>73</v>
      </c>
      <c r="G529" t="s">
        <v>99</v>
      </c>
      <c r="H529" s="10">
        <v>46112.743518518517</v>
      </c>
    </row>
    <row r="530" spans="1:8" x14ac:dyDescent="0.25">
      <c r="A530">
        <v>536</v>
      </c>
      <c r="B530" t="s">
        <v>629</v>
      </c>
      <c r="C530" t="s">
        <v>237</v>
      </c>
      <c r="D530">
        <v>57</v>
      </c>
      <c r="E530" t="s">
        <v>19</v>
      </c>
      <c r="F530" t="s">
        <v>11</v>
      </c>
      <c r="G530" t="s">
        <v>57</v>
      </c>
      <c r="H530" s="10">
        <v>46112.744201388887</v>
      </c>
    </row>
    <row r="531" spans="1:8" x14ac:dyDescent="0.25">
      <c r="A531">
        <v>537</v>
      </c>
      <c r="B531" t="s">
        <v>630</v>
      </c>
      <c r="C531" t="s">
        <v>91</v>
      </c>
      <c r="D531">
        <v>20</v>
      </c>
      <c r="E531" t="s">
        <v>26</v>
      </c>
      <c r="F531" t="s">
        <v>20</v>
      </c>
      <c r="G531" t="s">
        <v>16</v>
      </c>
      <c r="H531" s="10">
        <v>46112.744675925926</v>
      </c>
    </row>
    <row r="532" spans="1:8" x14ac:dyDescent="0.25">
      <c r="A532">
        <v>538</v>
      </c>
      <c r="B532" t="s">
        <v>507</v>
      </c>
      <c r="C532" t="s">
        <v>631</v>
      </c>
      <c r="D532">
        <v>25</v>
      </c>
      <c r="E532" t="s">
        <v>26</v>
      </c>
      <c r="F532" t="s">
        <v>33</v>
      </c>
      <c r="G532" t="s">
        <v>133</v>
      </c>
      <c r="H532" s="10">
        <v>46112.745208333334</v>
      </c>
    </row>
    <row r="533" spans="1:8" x14ac:dyDescent="0.25">
      <c r="A533">
        <v>539</v>
      </c>
      <c r="B533" t="s">
        <v>52</v>
      </c>
      <c r="C533" t="s">
        <v>526</v>
      </c>
      <c r="D533">
        <v>59</v>
      </c>
      <c r="E533" t="s">
        <v>26</v>
      </c>
      <c r="F533" t="s">
        <v>20</v>
      </c>
      <c r="G533" t="s">
        <v>114</v>
      </c>
      <c r="H533" s="10">
        <v>46112.745567129627</v>
      </c>
    </row>
    <row r="534" spans="1:8" x14ac:dyDescent="0.25">
      <c r="A534">
        <v>540</v>
      </c>
      <c r="B534" t="s">
        <v>110</v>
      </c>
      <c r="C534" t="s">
        <v>298</v>
      </c>
      <c r="D534">
        <v>21</v>
      </c>
      <c r="E534" t="s">
        <v>10</v>
      </c>
      <c r="F534" t="s">
        <v>15</v>
      </c>
      <c r="G534" t="s">
        <v>57</v>
      </c>
      <c r="H534" s="10">
        <v>46112.745682870373</v>
      </c>
    </row>
    <row r="535" spans="1:8" x14ac:dyDescent="0.25">
      <c r="A535">
        <v>541</v>
      </c>
      <c r="B535" t="s">
        <v>97</v>
      </c>
      <c r="C535" t="s">
        <v>324</v>
      </c>
      <c r="D535">
        <v>20</v>
      </c>
      <c r="E535" t="s">
        <v>19</v>
      </c>
      <c r="F535" t="s">
        <v>73</v>
      </c>
      <c r="G535" t="s">
        <v>99</v>
      </c>
      <c r="H535" s="10">
        <v>46112.745972222219</v>
      </c>
    </row>
    <row r="536" spans="1:8" x14ac:dyDescent="0.25">
      <c r="A536">
        <v>542</v>
      </c>
      <c r="B536" t="s">
        <v>201</v>
      </c>
      <c r="C536" t="s">
        <v>237</v>
      </c>
      <c r="D536">
        <v>46</v>
      </c>
      <c r="E536" t="s">
        <v>10</v>
      </c>
      <c r="F536" t="s">
        <v>73</v>
      </c>
      <c r="G536" t="s">
        <v>133</v>
      </c>
      <c r="H536" s="10">
        <v>46112.746574074074</v>
      </c>
    </row>
    <row r="537" spans="1:8" x14ac:dyDescent="0.25">
      <c r="A537">
        <v>543</v>
      </c>
      <c r="B537" t="s">
        <v>262</v>
      </c>
      <c r="C537" t="s">
        <v>139</v>
      </c>
      <c r="D537">
        <v>21</v>
      </c>
      <c r="E537" t="s">
        <v>10</v>
      </c>
      <c r="F537" t="s">
        <v>15</v>
      </c>
      <c r="G537" t="s">
        <v>16</v>
      </c>
      <c r="H537" s="10">
        <v>46112.746689814812</v>
      </c>
    </row>
    <row r="538" spans="1:8" x14ac:dyDescent="0.25">
      <c r="A538">
        <v>544</v>
      </c>
      <c r="B538" t="s">
        <v>632</v>
      </c>
      <c r="C538" t="s">
        <v>82</v>
      </c>
      <c r="D538">
        <v>54</v>
      </c>
      <c r="E538" t="s">
        <v>26</v>
      </c>
      <c r="F538" t="s">
        <v>29</v>
      </c>
      <c r="G538" t="s">
        <v>99</v>
      </c>
      <c r="H538" s="10">
        <v>46112.746817129628</v>
      </c>
    </row>
    <row r="539" spans="1:8" x14ac:dyDescent="0.25">
      <c r="A539">
        <v>545</v>
      </c>
      <c r="B539" t="s">
        <v>551</v>
      </c>
      <c r="C539" t="s">
        <v>120</v>
      </c>
      <c r="D539">
        <v>70</v>
      </c>
      <c r="E539" t="s">
        <v>10</v>
      </c>
      <c r="F539" t="s">
        <v>45</v>
      </c>
      <c r="G539" t="s">
        <v>42</v>
      </c>
      <c r="H539" s="10">
        <v>46112.74728009259</v>
      </c>
    </row>
    <row r="540" spans="1:8" x14ac:dyDescent="0.25">
      <c r="A540">
        <v>546</v>
      </c>
      <c r="B540" t="s">
        <v>633</v>
      </c>
      <c r="C540" t="s">
        <v>634</v>
      </c>
      <c r="D540">
        <v>57</v>
      </c>
      <c r="E540" t="s">
        <v>10</v>
      </c>
      <c r="F540" t="s">
        <v>45</v>
      </c>
      <c r="G540" t="s">
        <v>130</v>
      </c>
      <c r="H540" s="10">
        <v>46112.747719907406</v>
      </c>
    </row>
    <row r="541" spans="1:8" x14ac:dyDescent="0.25">
      <c r="A541">
        <v>547</v>
      </c>
      <c r="B541" t="s">
        <v>8</v>
      </c>
      <c r="C541" t="s">
        <v>635</v>
      </c>
      <c r="D541">
        <v>29</v>
      </c>
      <c r="E541" t="s">
        <v>26</v>
      </c>
      <c r="F541" t="s">
        <v>73</v>
      </c>
      <c r="G541" t="s">
        <v>36</v>
      </c>
      <c r="H541" s="10">
        <v>46112.748055555552</v>
      </c>
    </row>
    <row r="542" spans="1:8" x14ac:dyDescent="0.25">
      <c r="A542">
        <v>548</v>
      </c>
      <c r="B542" t="s">
        <v>636</v>
      </c>
      <c r="C542" t="s">
        <v>194</v>
      </c>
      <c r="D542">
        <v>64</v>
      </c>
      <c r="E542" t="s">
        <v>19</v>
      </c>
      <c r="F542" t="s">
        <v>20</v>
      </c>
      <c r="G542" t="s">
        <v>114</v>
      </c>
      <c r="H542" s="10">
        <v>46112.74863425926</v>
      </c>
    </row>
    <row r="543" spans="1:8" x14ac:dyDescent="0.25">
      <c r="A543">
        <v>549</v>
      </c>
      <c r="B543" t="s">
        <v>637</v>
      </c>
      <c r="C543" t="s">
        <v>257</v>
      </c>
      <c r="D543">
        <v>24</v>
      </c>
      <c r="E543" t="s">
        <v>10</v>
      </c>
      <c r="F543" t="s">
        <v>73</v>
      </c>
      <c r="G543" t="s">
        <v>54</v>
      </c>
      <c r="H543" s="10">
        <v>46112.748807870368</v>
      </c>
    </row>
    <row r="544" spans="1:8" x14ac:dyDescent="0.25">
      <c r="A544">
        <v>550</v>
      </c>
      <c r="B544" t="s">
        <v>267</v>
      </c>
      <c r="C544" t="s">
        <v>638</v>
      </c>
      <c r="D544">
        <v>55</v>
      </c>
      <c r="E544" t="s">
        <v>19</v>
      </c>
      <c r="F544" t="s">
        <v>20</v>
      </c>
      <c r="G544" t="s">
        <v>133</v>
      </c>
      <c r="H544" s="10">
        <v>46112.749143518522</v>
      </c>
    </row>
    <row r="545" spans="1:8" x14ac:dyDescent="0.25">
      <c r="A545">
        <v>551</v>
      </c>
      <c r="B545" t="s">
        <v>58</v>
      </c>
      <c r="C545" t="s">
        <v>419</v>
      </c>
      <c r="D545">
        <v>50</v>
      </c>
      <c r="E545" t="s">
        <v>19</v>
      </c>
      <c r="F545" t="s">
        <v>20</v>
      </c>
      <c r="G545" t="s">
        <v>130</v>
      </c>
      <c r="H545" s="10">
        <v>46112.749479166669</v>
      </c>
    </row>
    <row r="546" spans="1:8" x14ac:dyDescent="0.25">
      <c r="A546">
        <v>552</v>
      </c>
      <c r="B546" t="s">
        <v>47</v>
      </c>
      <c r="C546" t="s">
        <v>639</v>
      </c>
      <c r="D546">
        <v>45</v>
      </c>
      <c r="E546" t="s">
        <v>19</v>
      </c>
      <c r="F546" t="s">
        <v>20</v>
      </c>
      <c r="G546" t="s">
        <v>12</v>
      </c>
      <c r="H546" s="10">
        <v>46112.7497337963</v>
      </c>
    </row>
    <row r="547" spans="1:8" x14ac:dyDescent="0.25">
      <c r="A547">
        <v>553</v>
      </c>
      <c r="B547" t="s">
        <v>415</v>
      </c>
      <c r="C547" t="s">
        <v>640</v>
      </c>
      <c r="D547">
        <v>35</v>
      </c>
      <c r="E547" t="s">
        <v>19</v>
      </c>
      <c r="F547" t="s">
        <v>33</v>
      </c>
      <c r="G547" t="s">
        <v>99</v>
      </c>
      <c r="H547" s="10">
        <v>46112.750231481485</v>
      </c>
    </row>
    <row r="548" spans="1:8" x14ac:dyDescent="0.25">
      <c r="A548">
        <v>554</v>
      </c>
      <c r="B548" t="s">
        <v>582</v>
      </c>
      <c r="C548" t="s">
        <v>194</v>
      </c>
      <c r="D548">
        <v>32</v>
      </c>
      <c r="E548" t="s">
        <v>10</v>
      </c>
      <c r="F548" t="s">
        <v>11</v>
      </c>
      <c r="G548" t="s">
        <v>12</v>
      </c>
      <c r="H548" s="10">
        <v>46112.750821759262</v>
      </c>
    </row>
    <row r="549" spans="1:8" x14ac:dyDescent="0.25">
      <c r="A549">
        <v>555</v>
      </c>
      <c r="B549" t="s">
        <v>300</v>
      </c>
      <c r="C549" t="s">
        <v>291</v>
      </c>
      <c r="D549">
        <v>65</v>
      </c>
      <c r="E549" t="s">
        <v>19</v>
      </c>
      <c r="F549" t="s">
        <v>11</v>
      </c>
      <c r="G549" t="s">
        <v>36</v>
      </c>
      <c r="H549" s="10">
        <v>46112.750960648147</v>
      </c>
    </row>
    <row r="550" spans="1:8" x14ac:dyDescent="0.25">
      <c r="A550">
        <v>556</v>
      </c>
      <c r="B550" t="s">
        <v>437</v>
      </c>
      <c r="C550" t="s">
        <v>85</v>
      </c>
      <c r="D550">
        <v>64</v>
      </c>
      <c r="E550" t="s">
        <v>10</v>
      </c>
      <c r="F550" t="s">
        <v>11</v>
      </c>
      <c r="G550" t="s">
        <v>130</v>
      </c>
      <c r="H550" s="10">
        <v>46112.751516203702</v>
      </c>
    </row>
    <row r="551" spans="1:8" x14ac:dyDescent="0.25">
      <c r="A551">
        <v>557</v>
      </c>
      <c r="B551" t="s">
        <v>144</v>
      </c>
      <c r="C551" t="s">
        <v>183</v>
      </c>
      <c r="D551">
        <v>56</v>
      </c>
      <c r="E551" t="s">
        <v>10</v>
      </c>
      <c r="F551" t="s">
        <v>29</v>
      </c>
      <c r="G551" t="s">
        <v>46</v>
      </c>
      <c r="H551" s="10">
        <v>46112.751932870371</v>
      </c>
    </row>
    <row r="552" spans="1:8" x14ac:dyDescent="0.25">
      <c r="A552">
        <v>558</v>
      </c>
      <c r="B552" t="s">
        <v>641</v>
      </c>
      <c r="C552" t="s">
        <v>135</v>
      </c>
      <c r="D552">
        <v>27</v>
      </c>
      <c r="E552" t="s">
        <v>26</v>
      </c>
      <c r="F552" t="s">
        <v>29</v>
      </c>
      <c r="G552" t="s">
        <v>65</v>
      </c>
      <c r="H552" s="10">
        <v>46112.752523148149</v>
      </c>
    </row>
    <row r="553" spans="1:8" x14ac:dyDescent="0.25">
      <c r="A553">
        <v>559</v>
      </c>
      <c r="B553" t="s">
        <v>81</v>
      </c>
      <c r="C553" t="s">
        <v>542</v>
      </c>
      <c r="D553">
        <v>69</v>
      </c>
      <c r="E553" t="s">
        <v>19</v>
      </c>
      <c r="F553" t="s">
        <v>73</v>
      </c>
      <c r="G553" t="s">
        <v>130</v>
      </c>
      <c r="H553" s="10">
        <v>46112.753136574072</v>
      </c>
    </row>
    <row r="554" spans="1:8" x14ac:dyDescent="0.25">
      <c r="A554">
        <v>560</v>
      </c>
      <c r="B554" t="s">
        <v>484</v>
      </c>
      <c r="C554" t="s">
        <v>642</v>
      </c>
      <c r="D554">
        <v>42</v>
      </c>
      <c r="E554" t="s">
        <v>19</v>
      </c>
      <c r="F554" t="s">
        <v>20</v>
      </c>
      <c r="G554" t="s">
        <v>80</v>
      </c>
      <c r="H554" s="10">
        <v>46112.753449074073</v>
      </c>
    </row>
    <row r="555" spans="1:8" x14ac:dyDescent="0.25">
      <c r="A555">
        <v>561</v>
      </c>
      <c r="B555" t="s">
        <v>52</v>
      </c>
      <c r="C555" t="s">
        <v>618</v>
      </c>
      <c r="D555">
        <v>37</v>
      </c>
      <c r="E555" t="s">
        <v>26</v>
      </c>
      <c r="F555" t="s">
        <v>73</v>
      </c>
      <c r="G555" t="s">
        <v>36</v>
      </c>
      <c r="H555" s="10">
        <v>46112.753703703704</v>
      </c>
    </row>
    <row r="556" spans="1:8" x14ac:dyDescent="0.25">
      <c r="A556">
        <v>562</v>
      </c>
      <c r="B556" t="s">
        <v>643</v>
      </c>
      <c r="C556" t="s">
        <v>644</v>
      </c>
      <c r="D556">
        <v>59</v>
      </c>
      <c r="E556" t="s">
        <v>10</v>
      </c>
      <c r="F556" t="s">
        <v>45</v>
      </c>
      <c r="G556" t="s">
        <v>36</v>
      </c>
      <c r="H556" s="10">
        <v>46112.754131944443</v>
      </c>
    </row>
    <row r="557" spans="1:8" x14ac:dyDescent="0.25">
      <c r="A557">
        <v>563</v>
      </c>
      <c r="B557" t="s">
        <v>262</v>
      </c>
      <c r="C557" t="s">
        <v>628</v>
      </c>
      <c r="D557">
        <v>28</v>
      </c>
      <c r="E557" t="s">
        <v>10</v>
      </c>
      <c r="F557" t="s">
        <v>73</v>
      </c>
      <c r="G557" t="s">
        <v>130</v>
      </c>
      <c r="H557" s="10">
        <v>46112.754745370374</v>
      </c>
    </row>
    <row r="558" spans="1:8" x14ac:dyDescent="0.25">
      <c r="A558">
        <v>564</v>
      </c>
      <c r="B558" t="s">
        <v>160</v>
      </c>
      <c r="C558" t="s">
        <v>41</v>
      </c>
      <c r="D558">
        <v>26</v>
      </c>
      <c r="E558" t="s">
        <v>10</v>
      </c>
      <c r="F558" t="s">
        <v>20</v>
      </c>
      <c r="G558" t="s">
        <v>57</v>
      </c>
      <c r="H558" s="10">
        <v>46112.755300925928</v>
      </c>
    </row>
    <row r="559" spans="1:8" x14ac:dyDescent="0.25">
      <c r="A559">
        <v>565</v>
      </c>
      <c r="B559" t="s">
        <v>276</v>
      </c>
      <c r="C559" t="s">
        <v>645</v>
      </c>
      <c r="D559">
        <v>70</v>
      </c>
      <c r="E559" t="s">
        <v>19</v>
      </c>
      <c r="F559" t="s">
        <v>20</v>
      </c>
      <c r="G559" t="s">
        <v>42</v>
      </c>
      <c r="H559" s="10">
        <v>46112.755648148152</v>
      </c>
    </row>
    <row r="560" spans="1:8" x14ac:dyDescent="0.25">
      <c r="A560">
        <v>566</v>
      </c>
      <c r="B560" t="s">
        <v>24</v>
      </c>
      <c r="C560" t="s">
        <v>516</v>
      </c>
      <c r="D560">
        <v>58</v>
      </c>
      <c r="E560" t="s">
        <v>26</v>
      </c>
      <c r="F560" t="s">
        <v>33</v>
      </c>
      <c r="G560" t="s">
        <v>76</v>
      </c>
      <c r="H560" s="10">
        <v>46112.75577546296</v>
      </c>
    </row>
    <row r="561" spans="1:8" x14ac:dyDescent="0.25">
      <c r="A561">
        <v>567</v>
      </c>
      <c r="B561" t="s">
        <v>294</v>
      </c>
      <c r="C561" t="s">
        <v>646</v>
      </c>
      <c r="D561">
        <v>25</v>
      </c>
      <c r="E561" t="s">
        <v>10</v>
      </c>
      <c r="F561" t="s">
        <v>15</v>
      </c>
      <c r="G561" t="s">
        <v>68</v>
      </c>
      <c r="H561" s="10">
        <v>46112.756006944444</v>
      </c>
    </row>
    <row r="562" spans="1:8" x14ac:dyDescent="0.25">
      <c r="A562">
        <v>568</v>
      </c>
      <c r="B562" t="s">
        <v>314</v>
      </c>
      <c r="C562" t="s">
        <v>113</v>
      </c>
      <c r="D562">
        <v>31</v>
      </c>
      <c r="E562" t="s">
        <v>26</v>
      </c>
      <c r="F562" t="s">
        <v>45</v>
      </c>
      <c r="G562" t="s">
        <v>70</v>
      </c>
      <c r="H562" s="10">
        <v>46112.756157407406</v>
      </c>
    </row>
    <row r="563" spans="1:8" x14ac:dyDescent="0.25">
      <c r="A563">
        <v>569</v>
      </c>
      <c r="B563" t="s">
        <v>509</v>
      </c>
      <c r="C563" t="s">
        <v>143</v>
      </c>
      <c r="D563">
        <v>47</v>
      </c>
      <c r="E563" t="s">
        <v>10</v>
      </c>
      <c r="F563" t="s">
        <v>73</v>
      </c>
      <c r="G563" t="s">
        <v>30</v>
      </c>
      <c r="H563" s="10">
        <v>46112.756493055553</v>
      </c>
    </row>
    <row r="564" spans="1:8" x14ac:dyDescent="0.25">
      <c r="A564">
        <v>570</v>
      </c>
      <c r="B564" t="s">
        <v>429</v>
      </c>
      <c r="C564" t="s">
        <v>647</v>
      </c>
      <c r="D564">
        <v>45</v>
      </c>
      <c r="E564" t="s">
        <v>19</v>
      </c>
      <c r="F564" t="s">
        <v>33</v>
      </c>
      <c r="G564" t="s">
        <v>54</v>
      </c>
      <c r="H564" s="10">
        <v>46112.75708333333</v>
      </c>
    </row>
    <row r="565" spans="1:8" x14ac:dyDescent="0.25">
      <c r="A565">
        <v>571</v>
      </c>
      <c r="B565" t="s">
        <v>144</v>
      </c>
      <c r="C565" t="s">
        <v>648</v>
      </c>
      <c r="D565">
        <v>64</v>
      </c>
      <c r="E565" t="s">
        <v>10</v>
      </c>
      <c r="F565" t="s">
        <v>29</v>
      </c>
      <c r="G565" t="s">
        <v>46</v>
      </c>
      <c r="H565" s="10">
        <v>46112.757627314815</v>
      </c>
    </row>
    <row r="566" spans="1:8" x14ac:dyDescent="0.25">
      <c r="A566">
        <v>572</v>
      </c>
      <c r="B566" t="s">
        <v>582</v>
      </c>
      <c r="C566" t="s">
        <v>649</v>
      </c>
      <c r="D566">
        <v>39</v>
      </c>
      <c r="E566" t="s">
        <v>10</v>
      </c>
      <c r="F566" t="s">
        <v>33</v>
      </c>
      <c r="G566" t="s">
        <v>51</v>
      </c>
      <c r="H566" s="10">
        <v>46112.757847222223</v>
      </c>
    </row>
    <row r="567" spans="1:8" x14ac:dyDescent="0.25">
      <c r="A567">
        <v>573</v>
      </c>
      <c r="B567" t="s">
        <v>74</v>
      </c>
      <c r="C567" t="s">
        <v>650</v>
      </c>
      <c r="D567">
        <v>66</v>
      </c>
      <c r="E567" t="s">
        <v>19</v>
      </c>
      <c r="F567" t="s">
        <v>73</v>
      </c>
      <c r="G567" t="s">
        <v>80</v>
      </c>
      <c r="H567" s="10">
        <v>46112.757974537039</v>
      </c>
    </row>
    <row r="568" spans="1:8" x14ac:dyDescent="0.25">
      <c r="A568">
        <v>574</v>
      </c>
      <c r="B568" t="s">
        <v>81</v>
      </c>
      <c r="C568" t="s">
        <v>651</v>
      </c>
      <c r="D568">
        <v>62</v>
      </c>
      <c r="E568" t="s">
        <v>10</v>
      </c>
      <c r="F568" t="s">
        <v>45</v>
      </c>
      <c r="G568" t="s">
        <v>76</v>
      </c>
      <c r="H568" s="10">
        <v>46112.758425925924</v>
      </c>
    </row>
    <row r="569" spans="1:8" x14ac:dyDescent="0.25">
      <c r="A569">
        <v>575</v>
      </c>
      <c r="B569" t="s">
        <v>349</v>
      </c>
      <c r="C569" t="s">
        <v>410</v>
      </c>
      <c r="D569">
        <v>55</v>
      </c>
      <c r="E569" t="s">
        <v>19</v>
      </c>
      <c r="F569" t="s">
        <v>33</v>
      </c>
      <c r="G569" t="s">
        <v>133</v>
      </c>
      <c r="H569" s="10">
        <v>46112.758645833332</v>
      </c>
    </row>
    <row r="570" spans="1:8" x14ac:dyDescent="0.25">
      <c r="A570">
        <v>576</v>
      </c>
      <c r="B570" t="s">
        <v>575</v>
      </c>
      <c r="C570" t="s">
        <v>542</v>
      </c>
      <c r="D570">
        <v>57</v>
      </c>
      <c r="E570" t="s">
        <v>26</v>
      </c>
      <c r="F570" t="s">
        <v>11</v>
      </c>
      <c r="G570" t="s">
        <v>114</v>
      </c>
      <c r="H570" s="10">
        <v>46112.758993055555</v>
      </c>
    </row>
    <row r="571" spans="1:8" x14ac:dyDescent="0.25">
      <c r="A571">
        <v>577</v>
      </c>
      <c r="B571" t="s">
        <v>578</v>
      </c>
      <c r="C571" t="s">
        <v>135</v>
      </c>
      <c r="D571">
        <v>55</v>
      </c>
      <c r="E571" t="s">
        <v>10</v>
      </c>
      <c r="F571" t="s">
        <v>29</v>
      </c>
      <c r="G571" t="s">
        <v>80</v>
      </c>
      <c r="H571" s="10">
        <v>46112.759282407409</v>
      </c>
    </row>
    <row r="572" spans="1:8" x14ac:dyDescent="0.25">
      <c r="A572">
        <v>578</v>
      </c>
      <c r="B572" t="s">
        <v>652</v>
      </c>
      <c r="C572" t="s">
        <v>653</v>
      </c>
      <c r="D572">
        <v>22</v>
      </c>
      <c r="E572" t="s">
        <v>10</v>
      </c>
      <c r="F572" t="s">
        <v>15</v>
      </c>
      <c r="G572" t="s">
        <v>76</v>
      </c>
      <c r="H572" s="10">
        <v>46112.759837962964</v>
      </c>
    </row>
    <row r="573" spans="1:8" x14ac:dyDescent="0.25">
      <c r="A573">
        <v>579</v>
      </c>
      <c r="B573" t="s">
        <v>378</v>
      </c>
      <c r="C573" t="s">
        <v>329</v>
      </c>
      <c r="D573">
        <v>51</v>
      </c>
      <c r="E573" t="s">
        <v>26</v>
      </c>
      <c r="F573" t="s">
        <v>15</v>
      </c>
      <c r="G573" t="s">
        <v>16</v>
      </c>
      <c r="H573" s="10">
        <v>46112.760509259257</v>
      </c>
    </row>
    <row r="574" spans="1:8" x14ac:dyDescent="0.25">
      <c r="A574">
        <v>580</v>
      </c>
      <c r="B574" t="s">
        <v>201</v>
      </c>
      <c r="C574" t="s">
        <v>22</v>
      </c>
      <c r="D574">
        <v>65</v>
      </c>
      <c r="E574" t="s">
        <v>10</v>
      </c>
      <c r="F574" t="s">
        <v>29</v>
      </c>
      <c r="G574" t="s">
        <v>99</v>
      </c>
      <c r="H574" s="10">
        <v>46112.761030092595</v>
      </c>
    </row>
    <row r="575" spans="1:8" x14ac:dyDescent="0.25">
      <c r="A575">
        <v>581</v>
      </c>
      <c r="B575" t="s">
        <v>305</v>
      </c>
      <c r="C575" t="s">
        <v>654</v>
      </c>
      <c r="D575">
        <v>59</v>
      </c>
      <c r="E575" t="s">
        <v>10</v>
      </c>
      <c r="F575" t="s">
        <v>33</v>
      </c>
      <c r="G575" t="s">
        <v>114</v>
      </c>
      <c r="H575" s="10">
        <v>46112.761631944442</v>
      </c>
    </row>
    <row r="576" spans="1:8" x14ac:dyDescent="0.25">
      <c r="A576">
        <v>582</v>
      </c>
      <c r="B576" t="s">
        <v>97</v>
      </c>
      <c r="C576" t="s">
        <v>224</v>
      </c>
      <c r="D576">
        <v>52</v>
      </c>
      <c r="E576" t="s">
        <v>19</v>
      </c>
      <c r="F576" t="s">
        <v>20</v>
      </c>
      <c r="G576" t="s">
        <v>68</v>
      </c>
      <c r="H576" s="10">
        <v>46112.761863425927</v>
      </c>
    </row>
    <row r="577" spans="1:8" x14ac:dyDescent="0.25">
      <c r="A577">
        <v>583</v>
      </c>
      <c r="B577" t="s">
        <v>472</v>
      </c>
      <c r="C577" t="s">
        <v>655</v>
      </c>
      <c r="D577">
        <v>48</v>
      </c>
      <c r="E577" t="s">
        <v>26</v>
      </c>
      <c r="F577" t="s">
        <v>33</v>
      </c>
      <c r="G577" t="s">
        <v>57</v>
      </c>
      <c r="H577" s="10">
        <v>46112.762488425928</v>
      </c>
    </row>
    <row r="578" spans="1:8" x14ac:dyDescent="0.25">
      <c r="A578">
        <v>584</v>
      </c>
      <c r="B578" t="s">
        <v>151</v>
      </c>
      <c r="C578" t="s">
        <v>656</v>
      </c>
      <c r="D578">
        <v>56</v>
      </c>
      <c r="E578" t="s">
        <v>26</v>
      </c>
      <c r="F578" t="s">
        <v>11</v>
      </c>
      <c r="G578" t="s">
        <v>39</v>
      </c>
      <c r="H578" s="10">
        <v>46112.762650462966</v>
      </c>
    </row>
    <row r="579" spans="1:8" x14ac:dyDescent="0.25">
      <c r="A579">
        <v>585</v>
      </c>
      <c r="B579" t="s">
        <v>78</v>
      </c>
      <c r="C579" t="s">
        <v>139</v>
      </c>
      <c r="D579">
        <v>60</v>
      </c>
      <c r="E579" t="s">
        <v>10</v>
      </c>
      <c r="F579" t="s">
        <v>73</v>
      </c>
      <c r="G579" t="s">
        <v>68</v>
      </c>
      <c r="H579" s="10">
        <v>46112.762835648151</v>
      </c>
    </row>
    <row r="580" spans="1:8" x14ac:dyDescent="0.25">
      <c r="A580">
        <v>586</v>
      </c>
      <c r="B580" t="s">
        <v>104</v>
      </c>
      <c r="C580" t="s">
        <v>176</v>
      </c>
      <c r="D580">
        <v>62</v>
      </c>
      <c r="E580" t="s">
        <v>19</v>
      </c>
      <c r="F580" t="s">
        <v>73</v>
      </c>
      <c r="G580" t="s">
        <v>54</v>
      </c>
      <c r="H580" s="10">
        <v>46112.763287037036</v>
      </c>
    </row>
    <row r="581" spans="1:8" x14ac:dyDescent="0.25">
      <c r="A581">
        <v>587</v>
      </c>
      <c r="B581" t="s">
        <v>571</v>
      </c>
      <c r="C581" t="s">
        <v>67</v>
      </c>
      <c r="D581">
        <v>43</v>
      </c>
      <c r="E581" t="s">
        <v>19</v>
      </c>
      <c r="F581" t="s">
        <v>20</v>
      </c>
      <c r="G581" t="s">
        <v>99</v>
      </c>
      <c r="H581" s="10">
        <v>46112.76394675926</v>
      </c>
    </row>
    <row r="582" spans="1:8" x14ac:dyDescent="0.25">
      <c r="A582">
        <v>588</v>
      </c>
      <c r="B582" t="s">
        <v>657</v>
      </c>
      <c r="C582" t="s">
        <v>658</v>
      </c>
      <c r="D582">
        <v>62</v>
      </c>
      <c r="E582" t="s">
        <v>26</v>
      </c>
      <c r="F582" t="s">
        <v>33</v>
      </c>
      <c r="G582" t="s">
        <v>12</v>
      </c>
      <c r="H582" s="10">
        <v>46112.764444444445</v>
      </c>
    </row>
    <row r="583" spans="1:8" x14ac:dyDescent="0.25">
      <c r="A583">
        <v>589</v>
      </c>
      <c r="B583" t="s">
        <v>659</v>
      </c>
      <c r="C583" t="s">
        <v>660</v>
      </c>
      <c r="D583">
        <v>23</v>
      </c>
      <c r="E583" t="s">
        <v>26</v>
      </c>
      <c r="F583" t="s">
        <v>45</v>
      </c>
      <c r="G583" t="s">
        <v>36</v>
      </c>
      <c r="H583" s="10">
        <v>46112.765127314815</v>
      </c>
    </row>
    <row r="584" spans="1:8" x14ac:dyDescent="0.25">
      <c r="A584">
        <v>590</v>
      </c>
      <c r="B584" t="s">
        <v>575</v>
      </c>
      <c r="C584" t="s">
        <v>661</v>
      </c>
      <c r="D584">
        <v>60</v>
      </c>
      <c r="E584" t="s">
        <v>26</v>
      </c>
      <c r="F584" t="s">
        <v>73</v>
      </c>
      <c r="G584" t="s">
        <v>133</v>
      </c>
      <c r="H584" s="10">
        <v>46112.765439814815</v>
      </c>
    </row>
    <row r="585" spans="1:8" x14ac:dyDescent="0.25">
      <c r="A585">
        <v>591</v>
      </c>
      <c r="B585" t="s">
        <v>662</v>
      </c>
      <c r="C585" t="s">
        <v>91</v>
      </c>
      <c r="D585">
        <v>48</v>
      </c>
      <c r="E585" t="s">
        <v>10</v>
      </c>
      <c r="F585" t="s">
        <v>73</v>
      </c>
      <c r="G585" t="s">
        <v>76</v>
      </c>
      <c r="H585" s="10">
        <v>46112.766064814816</v>
      </c>
    </row>
    <row r="586" spans="1:8" x14ac:dyDescent="0.25">
      <c r="A586">
        <v>592</v>
      </c>
      <c r="B586" t="s">
        <v>663</v>
      </c>
      <c r="C586" t="s">
        <v>224</v>
      </c>
      <c r="D586">
        <v>23</v>
      </c>
      <c r="E586" t="s">
        <v>26</v>
      </c>
      <c r="F586" t="s">
        <v>20</v>
      </c>
      <c r="G586" t="s">
        <v>42</v>
      </c>
      <c r="H586" s="10">
        <v>46112.766469907408</v>
      </c>
    </row>
    <row r="587" spans="1:8" x14ac:dyDescent="0.25">
      <c r="A587">
        <v>593</v>
      </c>
      <c r="B587" t="s">
        <v>92</v>
      </c>
      <c r="C587" t="s">
        <v>172</v>
      </c>
      <c r="D587">
        <v>48</v>
      </c>
      <c r="E587" t="s">
        <v>19</v>
      </c>
      <c r="F587" t="s">
        <v>29</v>
      </c>
      <c r="G587" t="s">
        <v>54</v>
      </c>
      <c r="H587" s="10">
        <v>46112.766979166663</v>
      </c>
    </row>
    <row r="588" spans="1:8" x14ac:dyDescent="0.25">
      <c r="A588">
        <v>594</v>
      </c>
      <c r="B588" t="s">
        <v>55</v>
      </c>
      <c r="C588" t="s">
        <v>298</v>
      </c>
      <c r="D588">
        <v>55</v>
      </c>
      <c r="E588" t="s">
        <v>26</v>
      </c>
      <c r="F588" t="s">
        <v>20</v>
      </c>
      <c r="G588" t="s">
        <v>51</v>
      </c>
      <c r="H588" s="10">
        <v>46112.767314814817</v>
      </c>
    </row>
    <row r="589" spans="1:8" x14ac:dyDescent="0.25">
      <c r="A589">
        <v>595</v>
      </c>
      <c r="B589" t="s">
        <v>27</v>
      </c>
      <c r="C589" t="s">
        <v>446</v>
      </c>
      <c r="D589">
        <v>48</v>
      </c>
      <c r="E589" t="s">
        <v>19</v>
      </c>
      <c r="F589" t="s">
        <v>73</v>
      </c>
      <c r="G589" t="s">
        <v>133</v>
      </c>
      <c r="H589" s="10">
        <v>46112.767592592594</v>
      </c>
    </row>
    <row r="590" spans="1:8" x14ac:dyDescent="0.25">
      <c r="A590">
        <v>596</v>
      </c>
      <c r="B590" t="s">
        <v>468</v>
      </c>
      <c r="C590" t="s">
        <v>664</v>
      </c>
      <c r="D590">
        <v>48</v>
      </c>
      <c r="E590" t="s">
        <v>10</v>
      </c>
      <c r="F590" t="s">
        <v>73</v>
      </c>
      <c r="G590" t="s">
        <v>12</v>
      </c>
      <c r="H590" s="10">
        <v>46112.767881944441</v>
      </c>
    </row>
    <row r="591" spans="1:8" x14ac:dyDescent="0.25">
      <c r="A591">
        <v>597</v>
      </c>
      <c r="B591" t="s">
        <v>312</v>
      </c>
      <c r="C591" t="s">
        <v>439</v>
      </c>
      <c r="D591">
        <v>43</v>
      </c>
      <c r="E591" t="s">
        <v>26</v>
      </c>
      <c r="F591" t="s">
        <v>20</v>
      </c>
      <c r="G591" t="s">
        <v>39</v>
      </c>
      <c r="H591" s="10">
        <v>46112.768125000002</v>
      </c>
    </row>
    <row r="592" spans="1:8" x14ac:dyDescent="0.25">
      <c r="A592">
        <v>598</v>
      </c>
      <c r="B592" t="s">
        <v>104</v>
      </c>
      <c r="C592" t="s">
        <v>665</v>
      </c>
      <c r="D592">
        <v>34</v>
      </c>
      <c r="E592" t="s">
        <v>19</v>
      </c>
      <c r="F592" t="s">
        <v>29</v>
      </c>
      <c r="G592" t="s">
        <v>70</v>
      </c>
      <c r="H592" s="10">
        <v>46112.76866898148</v>
      </c>
    </row>
    <row r="593" spans="1:8" x14ac:dyDescent="0.25">
      <c r="A593">
        <v>599</v>
      </c>
      <c r="B593" t="s">
        <v>175</v>
      </c>
      <c r="C593" t="s">
        <v>14</v>
      </c>
      <c r="D593">
        <v>47</v>
      </c>
      <c r="E593" t="s">
        <v>26</v>
      </c>
      <c r="F593" t="s">
        <v>33</v>
      </c>
      <c r="G593" t="s">
        <v>65</v>
      </c>
      <c r="H593" s="10">
        <v>46112.768784722219</v>
      </c>
    </row>
    <row r="594" spans="1:8" x14ac:dyDescent="0.25">
      <c r="A594">
        <v>600</v>
      </c>
      <c r="B594" t="s">
        <v>666</v>
      </c>
      <c r="C594" t="s">
        <v>667</v>
      </c>
      <c r="D594">
        <v>47</v>
      </c>
      <c r="E594" t="s">
        <v>19</v>
      </c>
      <c r="F594" t="s">
        <v>15</v>
      </c>
      <c r="G594" t="s">
        <v>23</v>
      </c>
      <c r="H594" s="10">
        <v>46112.769097222219</v>
      </c>
    </row>
    <row r="595" spans="1:8" x14ac:dyDescent="0.25">
      <c r="A595">
        <v>601</v>
      </c>
      <c r="B595" t="s">
        <v>388</v>
      </c>
      <c r="C595" t="s">
        <v>668</v>
      </c>
      <c r="D595">
        <v>50</v>
      </c>
      <c r="E595" t="s">
        <v>26</v>
      </c>
      <c r="F595" t="s">
        <v>45</v>
      </c>
      <c r="G595" t="s">
        <v>114</v>
      </c>
      <c r="H595" s="10">
        <v>46112.769745370373</v>
      </c>
    </row>
    <row r="596" spans="1:8" x14ac:dyDescent="0.25">
      <c r="A596">
        <v>602</v>
      </c>
      <c r="B596" t="s">
        <v>669</v>
      </c>
      <c r="C596" t="s">
        <v>527</v>
      </c>
      <c r="D596">
        <v>34</v>
      </c>
      <c r="E596" t="s">
        <v>10</v>
      </c>
      <c r="F596" t="s">
        <v>45</v>
      </c>
      <c r="G596" t="s">
        <v>65</v>
      </c>
      <c r="H596" s="10">
        <v>46112.769965277781</v>
      </c>
    </row>
    <row r="597" spans="1:8" x14ac:dyDescent="0.25">
      <c r="A597">
        <v>603</v>
      </c>
      <c r="B597" t="s">
        <v>321</v>
      </c>
      <c r="C597" t="s">
        <v>407</v>
      </c>
      <c r="D597">
        <v>66</v>
      </c>
      <c r="E597" t="s">
        <v>10</v>
      </c>
      <c r="F597" t="s">
        <v>20</v>
      </c>
      <c r="G597" t="s">
        <v>70</v>
      </c>
      <c r="H597" s="10">
        <v>46112.770370370374</v>
      </c>
    </row>
    <row r="598" spans="1:8" x14ac:dyDescent="0.25">
      <c r="A598">
        <v>604</v>
      </c>
      <c r="B598" t="s">
        <v>100</v>
      </c>
      <c r="C598" t="s">
        <v>670</v>
      </c>
      <c r="D598">
        <v>45</v>
      </c>
      <c r="E598" t="s">
        <v>19</v>
      </c>
      <c r="F598" t="s">
        <v>33</v>
      </c>
      <c r="G598" t="s">
        <v>65</v>
      </c>
      <c r="H598" s="10">
        <v>46112.77071759259</v>
      </c>
    </row>
    <row r="599" spans="1:8" x14ac:dyDescent="0.25">
      <c r="A599">
        <v>605</v>
      </c>
      <c r="B599" t="s">
        <v>671</v>
      </c>
      <c r="C599" t="s">
        <v>194</v>
      </c>
      <c r="D599">
        <v>63</v>
      </c>
      <c r="E599" t="s">
        <v>10</v>
      </c>
      <c r="F599" t="s">
        <v>33</v>
      </c>
      <c r="G599" t="s">
        <v>130</v>
      </c>
      <c r="H599" s="10">
        <v>46112.770914351851</v>
      </c>
    </row>
    <row r="600" spans="1:8" x14ac:dyDescent="0.25">
      <c r="A600">
        <v>606</v>
      </c>
      <c r="B600" t="s">
        <v>672</v>
      </c>
      <c r="C600" t="s">
        <v>224</v>
      </c>
      <c r="D600">
        <v>35</v>
      </c>
      <c r="E600" t="s">
        <v>19</v>
      </c>
      <c r="F600" t="s">
        <v>15</v>
      </c>
      <c r="G600" t="s">
        <v>57</v>
      </c>
      <c r="H600" s="10">
        <v>46112.771423611113</v>
      </c>
    </row>
    <row r="601" spans="1:8" x14ac:dyDescent="0.25">
      <c r="A601">
        <v>607</v>
      </c>
      <c r="B601" t="s">
        <v>673</v>
      </c>
      <c r="C601" t="s">
        <v>439</v>
      </c>
      <c r="D601">
        <v>40</v>
      </c>
      <c r="E601" t="s">
        <v>10</v>
      </c>
      <c r="F601" t="s">
        <v>33</v>
      </c>
      <c r="G601" t="s">
        <v>130</v>
      </c>
      <c r="H601" s="10">
        <v>46112.771643518521</v>
      </c>
    </row>
    <row r="602" spans="1:8" x14ac:dyDescent="0.25">
      <c r="A602">
        <v>608</v>
      </c>
      <c r="B602" t="s">
        <v>674</v>
      </c>
      <c r="C602" t="s">
        <v>135</v>
      </c>
      <c r="D602">
        <v>70</v>
      </c>
      <c r="E602" t="s">
        <v>19</v>
      </c>
      <c r="F602" t="s">
        <v>20</v>
      </c>
      <c r="G602" t="s">
        <v>130</v>
      </c>
      <c r="H602" s="10">
        <v>46113.552673611113</v>
      </c>
    </row>
    <row r="603" spans="1:8" x14ac:dyDescent="0.25">
      <c r="A603">
        <v>609</v>
      </c>
      <c r="B603" t="s">
        <v>92</v>
      </c>
      <c r="C603" t="s">
        <v>247</v>
      </c>
      <c r="D603">
        <v>18</v>
      </c>
      <c r="E603" t="s">
        <v>26</v>
      </c>
      <c r="F603" t="s">
        <v>45</v>
      </c>
      <c r="G603" t="s">
        <v>70</v>
      </c>
      <c r="H603" s="10">
        <v>46113.552870370368</v>
      </c>
    </row>
    <row r="604" spans="1:8" x14ac:dyDescent="0.25">
      <c r="A604">
        <v>610</v>
      </c>
      <c r="B604" t="s">
        <v>560</v>
      </c>
      <c r="C604" t="s">
        <v>82</v>
      </c>
      <c r="D604">
        <v>36</v>
      </c>
      <c r="E604" t="s">
        <v>19</v>
      </c>
      <c r="F604" t="s">
        <v>73</v>
      </c>
      <c r="G604" t="s">
        <v>51</v>
      </c>
      <c r="H604" s="10">
        <v>46113.553136574075</v>
      </c>
    </row>
    <row r="605" spans="1:8" x14ac:dyDescent="0.25">
      <c r="A605">
        <v>611</v>
      </c>
      <c r="B605" t="s">
        <v>84</v>
      </c>
      <c r="C605" t="s">
        <v>9</v>
      </c>
      <c r="D605">
        <v>60</v>
      </c>
      <c r="E605" t="s">
        <v>19</v>
      </c>
      <c r="F605" t="s">
        <v>73</v>
      </c>
      <c r="G605" t="s">
        <v>114</v>
      </c>
      <c r="H605" s="10">
        <v>46113.553460648145</v>
      </c>
    </row>
    <row r="606" spans="1:8" x14ac:dyDescent="0.25">
      <c r="A606">
        <v>612</v>
      </c>
      <c r="B606" t="s">
        <v>675</v>
      </c>
      <c r="C606" t="s">
        <v>389</v>
      </c>
      <c r="D606">
        <v>26</v>
      </c>
      <c r="E606" t="s">
        <v>19</v>
      </c>
      <c r="F606" t="s">
        <v>11</v>
      </c>
      <c r="G606" t="s">
        <v>16</v>
      </c>
      <c r="H606" s="10">
        <v>46113.55400462963</v>
      </c>
    </row>
    <row r="607" spans="1:8" x14ac:dyDescent="0.25">
      <c r="A607">
        <v>613</v>
      </c>
      <c r="B607" t="s">
        <v>62</v>
      </c>
      <c r="C607" t="s">
        <v>676</v>
      </c>
      <c r="D607">
        <v>34</v>
      </c>
      <c r="E607" t="s">
        <v>19</v>
      </c>
      <c r="F607" t="s">
        <v>15</v>
      </c>
      <c r="G607" t="s">
        <v>23</v>
      </c>
      <c r="H607" s="10">
        <v>46113.554699074077</v>
      </c>
    </row>
    <row r="608" spans="1:8" x14ac:dyDescent="0.25">
      <c r="A608">
        <v>614</v>
      </c>
      <c r="B608" t="s">
        <v>559</v>
      </c>
      <c r="C608" t="s">
        <v>352</v>
      </c>
      <c r="D608">
        <v>38</v>
      </c>
      <c r="E608" t="s">
        <v>26</v>
      </c>
      <c r="F608" t="s">
        <v>73</v>
      </c>
      <c r="G608" t="s">
        <v>39</v>
      </c>
      <c r="H608" s="10">
        <v>46113.554814814815</v>
      </c>
    </row>
    <row r="609" spans="1:8" x14ac:dyDescent="0.25">
      <c r="A609">
        <v>615</v>
      </c>
      <c r="B609" t="s">
        <v>677</v>
      </c>
      <c r="C609" t="s">
        <v>678</v>
      </c>
      <c r="D609">
        <v>22</v>
      </c>
      <c r="E609" t="s">
        <v>10</v>
      </c>
      <c r="F609" t="s">
        <v>20</v>
      </c>
      <c r="G609" t="s">
        <v>114</v>
      </c>
      <c r="H609" s="10">
        <v>46113.555486111109</v>
      </c>
    </row>
    <row r="610" spans="1:8" x14ac:dyDescent="0.25">
      <c r="A610">
        <v>616</v>
      </c>
      <c r="B610" t="s">
        <v>238</v>
      </c>
      <c r="C610" t="s">
        <v>439</v>
      </c>
      <c r="D610">
        <v>67</v>
      </c>
      <c r="E610" t="s">
        <v>26</v>
      </c>
      <c r="F610" t="s">
        <v>29</v>
      </c>
      <c r="G610" t="s">
        <v>46</v>
      </c>
      <c r="H610" s="10">
        <v>46113.555879629632</v>
      </c>
    </row>
    <row r="611" spans="1:8" x14ac:dyDescent="0.25">
      <c r="A611">
        <v>617</v>
      </c>
      <c r="B611" t="s">
        <v>220</v>
      </c>
      <c r="C611" t="s">
        <v>187</v>
      </c>
      <c r="D611">
        <v>44</v>
      </c>
      <c r="E611" t="s">
        <v>19</v>
      </c>
      <c r="F611" t="s">
        <v>11</v>
      </c>
      <c r="G611" t="s">
        <v>68</v>
      </c>
      <c r="H611" s="10">
        <v>46113.556331018517</v>
      </c>
    </row>
    <row r="612" spans="1:8" x14ac:dyDescent="0.25">
      <c r="A612">
        <v>618</v>
      </c>
      <c r="B612" t="s">
        <v>679</v>
      </c>
      <c r="C612" t="s">
        <v>87</v>
      </c>
      <c r="D612">
        <v>33</v>
      </c>
      <c r="E612" t="s">
        <v>19</v>
      </c>
      <c r="F612" t="s">
        <v>29</v>
      </c>
      <c r="G612" t="s">
        <v>39</v>
      </c>
      <c r="H612" s="10">
        <v>46113.556932870371</v>
      </c>
    </row>
    <row r="613" spans="1:8" x14ac:dyDescent="0.25">
      <c r="A613">
        <v>619</v>
      </c>
      <c r="B613" t="s">
        <v>680</v>
      </c>
      <c r="C613" t="s">
        <v>681</v>
      </c>
      <c r="D613">
        <v>48</v>
      </c>
      <c r="E613" t="s">
        <v>10</v>
      </c>
      <c r="F613" t="s">
        <v>20</v>
      </c>
      <c r="G613" t="s">
        <v>76</v>
      </c>
      <c r="H613" s="10">
        <v>46113.557442129626</v>
      </c>
    </row>
    <row r="614" spans="1:8" x14ac:dyDescent="0.25">
      <c r="A614">
        <v>620</v>
      </c>
      <c r="B614" t="s">
        <v>682</v>
      </c>
      <c r="C614" t="s">
        <v>139</v>
      </c>
      <c r="D614">
        <v>57</v>
      </c>
      <c r="E614" t="s">
        <v>19</v>
      </c>
      <c r="F614" t="s">
        <v>29</v>
      </c>
      <c r="G614" t="s">
        <v>65</v>
      </c>
      <c r="H614" s="10">
        <v>46113.557847222219</v>
      </c>
    </row>
    <row r="615" spans="1:8" x14ac:dyDescent="0.25">
      <c r="A615">
        <v>621</v>
      </c>
      <c r="B615" t="s">
        <v>341</v>
      </c>
      <c r="C615" t="s">
        <v>683</v>
      </c>
      <c r="D615">
        <v>24</v>
      </c>
      <c r="E615" t="s">
        <v>10</v>
      </c>
      <c r="F615" t="s">
        <v>29</v>
      </c>
      <c r="G615" t="s">
        <v>23</v>
      </c>
      <c r="H615" s="10">
        <v>46113.558194444442</v>
      </c>
    </row>
    <row r="616" spans="1:8" x14ac:dyDescent="0.25">
      <c r="A616">
        <v>622</v>
      </c>
      <c r="B616" t="s">
        <v>125</v>
      </c>
      <c r="C616" t="s">
        <v>224</v>
      </c>
      <c r="D616">
        <v>25</v>
      </c>
      <c r="E616" t="s">
        <v>10</v>
      </c>
      <c r="F616" t="s">
        <v>29</v>
      </c>
      <c r="G616" t="s">
        <v>46</v>
      </c>
      <c r="H616" s="10">
        <v>46113.55841435185</v>
      </c>
    </row>
    <row r="617" spans="1:8" x14ac:dyDescent="0.25">
      <c r="A617">
        <v>623</v>
      </c>
      <c r="B617" t="s">
        <v>117</v>
      </c>
      <c r="C617" t="s">
        <v>684</v>
      </c>
      <c r="D617">
        <v>18</v>
      </c>
      <c r="E617" t="s">
        <v>10</v>
      </c>
      <c r="F617" t="s">
        <v>29</v>
      </c>
      <c r="G617" t="s">
        <v>99</v>
      </c>
      <c r="H617" s="10">
        <v>46113.559004629627</v>
      </c>
    </row>
    <row r="618" spans="1:8" x14ac:dyDescent="0.25">
      <c r="A618">
        <v>624</v>
      </c>
      <c r="B618" t="s">
        <v>369</v>
      </c>
      <c r="C618" t="s">
        <v>384</v>
      </c>
      <c r="D618">
        <v>43</v>
      </c>
      <c r="E618" t="s">
        <v>19</v>
      </c>
      <c r="F618" t="s">
        <v>73</v>
      </c>
      <c r="G618" t="s">
        <v>36</v>
      </c>
      <c r="H618" s="10">
        <v>46113.559699074074</v>
      </c>
    </row>
    <row r="619" spans="1:8" x14ac:dyDescent="0.25">
      <c r="A619">
        <v>625</v>
      </c>
      <c r="B619" t="s">
        <v>294</v>
      </c>
      <c r="C619" t="s">
        <v>517</v>
      </c>
      <c r="D619">
        <v>25</v>
      </c>
      <c r="E619" t="s">
        <v>19</v>
      </c>
      <c r="F619" t="s">
        <v>15</v>
      </c>
      <c r="G619" t="s">
        <v>130</v>
      </c>
      <c r="H619" s="10">
        <v>46113.559942129628</v>
      </c>
    </row>
    <row r="620" spans="1:8" x14ac:dyDescent="0.25">
      <c r="A620">
        <v>626</v>
      </c>
      <c r="B620" t="s">
        <v>63</v>
      </c>
      <c r="C620" t="s">
        <v>685</v>
      </c>
      <c r="D620">
        <v>20</v>
      </c>
      <c r="E620" t="s">
        <v>10</v>
      </c>
      <c r="F620" t="s">
        <v>29</v>
      </c>
      <c r="G620" t="s">
        <v>16</v>
      </c>
      <c r="H620" s="10">
        <v>46113.560289351852</v>
      </c>
    </row>
    <row r="621" spans="1:8" x14ac:dyDescent="0.25">
      <c r="A621">
        <v>627</v>
      </c>
      <c r="B621" t="s">
        <v>686</v>
      </c>
      <c r="C621" t="s">
        <v>334</v>
      </c>
      <c r="D621">
        <v>63</v>
      </c>
      <c r="E621" t="s">
        <v>10</v>
      </c>
      <c r="F621" t="s">
        <v>33</v>
      </c>
      <c r="G621" t="s">
        <v>57</v>
      </c>
      <c r="H621" s="10">
        <v>46113.560428240744</v>
      </c>
    </row>
    <row r="622" spans="1:8" x14ac:dyDescent="0.25">
      <c r="A622">
        <v>628</v>
      </c>
      <c r="B622" t="s">
        <v>687</v>
      </c>
      <c r="C622" t="s">
        <v>688</v>
      </c>
      <c r="D622">
        <v>47</v>
      </c>
      <c r="E622" t="s">
        <v>26</v>
      </c>
      <c r="F622" t="s">
        <v>33</v>
      </c>
      <c r="G622" t="s">
        <v>114</v>
      </c>
      <c r="H622" s="10">
        <v>46113.56077546296</v>
      </c>
    </row>
    <row r="623" spans="1:8" x14ac:dyDescent="0.25">
      <c r="A623">
        <v>629</v>
      </c>
      <c r="B623" t="s">
        <v>13</v>
      </c>
      <c r="C623" t="s">
        <v>75</v>
      </c>
      <c r="D623">
        <v>45</v>
      </c>
      <c r="E623" t="s">
        <v>26</v>
      </c>
      <c r="F623" t="s">
        <v>33</v>
      </c>
      <c r="G623" t="s">
        <v>99</v>
      </c>
      <c r="H623" s="10">
        <v>46113.561145833337</v>
      </c>
    </row>
    <row r="624" spans="1:8" x14ac:dyDescent="0.25">
      <c r="A624">
        <v>630</v>
      </c>
      <c r="B624" t="s">
        <v>88</v>
      </c>
      <c r="C624" t="s">
        <v>478</v>
      </c>
      <c r="D624">
        <v>57</v>
      </c>
      <c r="E624" t="s">
        <v>26</v>
      </c>
      <c r="F624" t="s">
        <v>11</v>
      </c>
      <c r="G624" t="s">
        <v>12</v>
      </c>
      <c r="H624" s="10">
        <v>46113.561678240738</v>
      </c>
    </row>
    <row r="625" spans="1:8" x14ac:dyDescent="0.25">
      <c r="A625">
        <v>631</v>
      </c>
      <c r="B625" t="s">
        <v>222</v>
      </c>
      <c r="C625" t="s">
        <v>487</v>
      </c>
      <c r="D625">
        <v>50</v>
      </c>
      <c r="E625" t="s">
        <v>26</v>
      </c>
      <c r="F625" t="s">
        <v>33</v>
      </c>
      <c r="G625" t="s">
        <v>12</v>
      </c>
      <c r="H625" s="10">
        <v>46113.561840277776</v>
      </c>
    </row>
    <row r="626" spans="1:8" x14ac:dyDescent="0.25">
      <c r="A626">
        <v>632</v>
      </c>
      <c r="B626" t="s">
        <v>418</v>
      </c>
      <c r="C626" t="s">
        <v>678</v>
      </c>
      <c r="D626">
        <v>33</v>
      </c>
      <c r="E626" t="s">
        <v>26</v>
      </c>
      <c r="F626" t="s">
        <v>15</v>
      </c>
      <c r="G626" t="s">
        <v>42</v>
      </c>
      <c r="H626" s="10">
        <v>46113.562118055554</v>
      </c>
    </row>
    <row r="627" spans="1:8" x14ac:dyDescent="0.25">
      <c r="A627">
        <v>633</v>
      </c>
      <c r="B627" t="s">
        <v>689</v>
      </c>
      <c r="C627" t="s">
        <v>501</v>
      </c>
      <c r="D627">
        <v>64</v>
      </c>
      <c r="E627" t="s">
        <v>10</v>
      </c>
      <c r="F627" t="s">
        <v>45</v>
      </c>
      <c r="G627" t="s">
        <v>42</v>
      </c>
      <c r="H627" s="10">
        <v>46113.562280092592</v>
      </c>
    </row>
    <row r="628" spans="1:8" x14ac:dyDescent="0.25">
      <c r="A628">
        <v>634</v>
      </c>
      <c r="B628" t="s">
        <v>250</v>
      </c>
      <c r="C628" t="s">
        <v>565</v>
      </c>
      <c r="D628">
        <v>40</v>
      </c>
      <c r="E628" t="s">
        <v>26</v>
      </c>
      <c r="F628" t="s">
        <v>15</v>
      </c>
      <c r="G628" t="s">
        <v>99</v>
      </c>
      <c r="H628" s="10">
        <v>46113.562650462962</v>
      </c>
    </row>
    <row r="629" spans="1:8" x14ac:dyDescent="0.25">
      <c r="A629">
        <v>635</v>
      </c>
      <c r="B629" t="s">
        <v>411</v>
      </c>
      <c r="C629" t="s">
        <v>690</v>
      </c>
      <c r="D629">
        <v>33</v>
      </c>
      <c r="E629" t="s">
        <v>19</v>
      </c>
      <c r="F629" t="s">
        <v>15</v>
      </c>
      <c r="G629" t="s">
        <v>30</v>
      </c>
      <c r="H629" s="10">
        <v>46113.562858796293</v>
      </c>
    </row>
    <row r="630" spans="1:8" x14ac:dyDescent="0.25">
      <c r="A630">
        <v>636</v>
      </c>
      <c r="B630" t="s">
        <v>71</v>
      </c>
      <c r="C630" t="s">
        <v>691</v>
      </c>
      <c r="D630">
        <v>19</v>
      </c>
      <c r="E630" t="s">
        <v>10</v>
      </c>
      <c r="F630" t="s">
        <v>29</v>
      </c>
      <c r="G630" t="s">
        <v>99</v>
      </c>
      <c r="H630" s="10">
        <v>46113.562974537039</v>
      </c>
    </row>
    <row r="631" spans="1:8" x14ac:dyDescent="0.25">
      <c r="A631">
        <v>637</v>
      </c>
      <c r="B631" t="s">
        <v>692</v>
      </c>
      <c r="C631" t="s">
        <v>75</v>
      </c>
      <c r="D631">
        <v>60</v>
      </c>
      <c r="E631" t="s">
        <v>19</v>
      </c>
      <c r="F631" t="s">
        <v>20</v>
      </c>
      <c r="G631" t="s">
        <v>23</v>
      </c>
      <c r="H631" s="10">
        <v>46113.563171296293</v>
      </c>
    </row>
    <row r="632" spans="1:8" x14ac:dyDescent="0.25">
      <c r="A632">
        <v>638</v>
      </c>
      <c r="B632" t="s">
        <v>199</v>
      </c>
      <c r="C632" t="s">
        <v>693</v>
      </c>
      <c r="D632">
        <v>28</v>
      </c>
      <c r="E632" t="s">
        <v>10</v>
      </c>
      <c r="F632" t="s">
        <v>73</v>
      </c>
      <c r="G632" t="s">
        <v>39</v>
      </c>
      <c r="H632" s="10">
        <v>46113.563750000001</v>
      </c>
    </row>
    <row r="633" spans="1:8" x14ac:dyDescent="0.25">
      <c r="A633">
        <v>639</v>
      </c>
      <c r="B633" t="s">
        <v>40</v>
      </c>
      <c r="C633" t="s">
        <v>694</v>
      </c>
      <c r="D633">
        <v>41</v>
      </c>
      <c r="E633" t="s">
        <v>26</v>
      </c>
      <c r="F633" t="s">
        <v>45</v>
      </c>
      <c r="G633" t="s">
        <v>130</v>
      </c>
      <c r="H633" s="10">
        <v>46113.564236111109</v>
      </c>
    </row>
    <row r="634" spans="1:8" x14ac:dyDescent="0.25">
      <c r="A634">
        <v>640</v>
      </c>
      <c r="B634" t="s">
        <v>250</v>
      </c>
      <c r="C634" t="s">
        <v>517</v>
      </c>
      <c r="D634">
        <v>21</v>
      </c>
      <c r="E634" t="s">
        <v>10</v>
      </c>
      <c r="F634" t="s">
        <v>20</v>
      </c>
      <c r="G634" t="s">
        <v>36</v>
      </c>
      <c r="H634" s="10">
        <v>46113.564513888887</v>
      </c>
    </row>
    <row r="635" spans="1:8" x14ac:dyDescent="0.25">
      <c r="A635">
        <v>641</v>
      </c>
      <c r="B635" t="s">
        <v>127</v>
      </c>
      <c r="C635" t="s">
        <v>695</v>
      </c>
      <c r="D635">
        <v>41</v>
      </c>
      <c r="E635" t="s">
        <v>19</v>
      </c>
      <c r="F635" t="s">
        <v>15</v>
      </c>
      <c r="G635" t="s">
        <v>12</v>
      </c>
      <c r="H635" s="10">
        <v>46113.565000000002</v>
      </c>
    </row>
    <row r="636" spans="1:8" x14ac:dyDescent="0.25">
      <c r="A636">
        <v>642</v>
      </c>
      <c r="B636" t="s">
        <v>507</v>
      </c>
      <c r="C636" t="s">
        <v>696</v>
      </c>
      <c r="D636">
        <v>27</v>
      </c>
      <c r="E636" t="s">
        <v>10</v>
      </c>
      <c r="F636" t="s">
        <v>73</v>
      </c>
      <c r="G636" t="s">
        <v>99</v>
      </c>
      <c r="H636" s="10">
        <v>46113.565486111111</v>
      </c>
    </row>
    <row r="637" spans="1:8" x14ac:dyDescent="0.25">
      <c r="A637">
        <v>643</v>
      </c>
      <c r="B637" t="s">
        <v>110</v>
      </c>
      <c r="C637" t="s">
        <v>176</v>
      </c>
      <c r="D637">
        <v>21</v>
      </c>
      <c r="E637" t="s">
        <v>26</v>
      </c>
      <c r="F637" t="s">
        <v>29</v>
      </c>
      <c r="G637" t="s">
        <v>23</v>
      </c>
      <c r="H637" s="10">
        <v>46113.565740740742</v>
      </c>
    </row>
    <row r="638" spans="1:8" x14ac:dyDescent="0.25">
      <c r="A638">
        <v>644</v>
      </c>
      <c r="B638" t="s">
        <v>171</v>
      </c>
      <c r="C638" t="s">
        <v>697</v>
      </c>
      <c r="D638">
        <v>50</v>
      </c>
      <c r="E638" t="s">
        <v>26</v>
      </c>
      <c r="F638" t="s">
        <v>29</v>
      </c>
      <c r="G638" t="s">
        <v>68</v>
      </c>
      <c r="H638" s="10">
        <v>46113.566423611112</v>
      </c>
    </row>
    <row r="639" spans="1:8" x14ac:dyDescent="0.25">
      <c r="A639">
        <v>645</v>
      </c>
      <c r="B639" t="s">
        <v>174</v>
      </c>
      <c r="C639" t="s">
        <v>589</v>
      </c>
      <c r="D639">
        <v>58</v>
      </c>
      <c r="E639" t="s">
        <v>26</v>
      </c>
      <c r="F639" t="s">
        <v>33</v>
      </c>
      <c r="G639" t="s">
        <v>70</v>
      </c>
      <c r="H639" s="10">
        <v>46113.566631944443</v>
      </c>
    </row>
    <row r="640" spans="1:8" x14ac:dyDescent="0.25">
      <c r="A640">
        <v>646</v>
      </c>
      <c r="B640" t="s">
        <v>206</v>
      </c>
      <c r="C640" t="s">
        <v>420</v>
      </c>
      <c r="D640">
        <v>49</v>
      </c>
      <c r="E640" t="s">
        <v>19</v>
      </c>
      <c r="F640" t="s">
        <v>15</v>
      </c>
      <c r="G640" t="s">
        <v>23</v>
      </c>
      <c r="H640" s="10">
        <v>46113.567048611112</v>
      </c>
    </row>
    <row r="641" spans="1:8" x14ac:dyDescent="0.25">
      <c r="A641">
        <v>647</v>
      </c>
      <c r="B641" t="s">
        <v>425</v>
      </c>
      <c r="C641" t="s">
        <v>698</v>
      </c>
      <c r="D641">
        <v>65</v>
      </c>
      <c r="E641" t="s">
        <v>19</v>
      </c>
      <c r="F641" t="s">
        <v>11</v>
      </c>
      <c r="G641" t="s">
        <v>12</v>
      </c>
      <c r="H641" s="10">
        <v>46113.567233796297</v>
      </c>
    </row>
    <row r="642" spans="1:8" x14ac:dyDescent="0.25">
      <c r="A642">
        <v>648</v>
      </c>
      <c r="B642" t="s">
        <v>84</v>
      </c>
      <c r="C642" t="s">
        <v>22</v>
      </c>
      <c r="D642">
        <v>26</v>
      </c>
      <c r="E642" t="s">
        <v>19</v>
      </c>
      <c r="F642" t="s">
        <v>45</v>
      </c>
      <c r="G642" t="s">
        <v>54</v>
      </c>
      <c r="H642" s="10">
        <v>46113.567858796298</v>
      </c>
    </row>
    <row r="643" spans="1:8" x14ac:dyDescent="0.25">
      <c r="A643">
        <v>649</v>
      </c>
      <c r="B643" t="s">
        <v>250</v>
      </c>
      <c r="C643" t="s">
        <v>602</v>
      </c>
      <c r="D643">
        <v>36</v>
      </c>
      <c r="E643" t="s">
        <v>19</v>
      </c>
      <c r="F643" t="s">
        <v>45</v>
      </c>
      <c r="G643" t="s">
        <v>16</v>
      </c>
      <c r="H643" s="10">
        <v>46113.56826388889</v>
      </c>
    </row>
    <row r="644" spans="1:8" x14ac:dyDescent="0.25">
      <c r="A644">
        <v>650</v>
      </c>
      <c r="B644" t="s">
        <v>117</v>
      </c>
      <c r="C644" t="s">
        <v>606</v>
      </c>
      <c r="D644">
        <v>39</v>
      </c>
      <c r="E644" t="s">
        <v>10</v>
      </c>
      <c r="F644" t="s">
        <v>20</v>
      </c>
      <c r="G644" t="s">
        <v>68</v>
      </c>
      <c r="H644" s="10">
        <v>46113.568425925929</v>
      </c>
    </row>
    <row r="645" spans="1:8" x14ac:dyDescent="0.25">
      <c r="A645">
        <v>651</v>
      </c>
      <c r="B645" t="s">
        <v>81</v>
      </c>
      <c r="C645" t="s">
        <v>237</v>
      </c>
      <c r="D645">
        <v>64</v>
      </c>
      <c r="E645" t="s">
        <v>10</v>
      </c>
      <c r="F645" t="s">
        <v>20</v>
      </c>
      <c r="G645" t="s">
        <v>68</v>
      </c>
      <c r="H645" s="10">
        <v>46113.568622685183</v>
      </c>
    </row>
    <row r="646" spans="1:8" x14ac:dyDescent="0.25">
      <c r="A646">
        <v>652</v>
      </c>
      <c r="B646" t="s">
        <v>699</v>
      </c>
      <c r="C646" t="s">
        <v>700</v>
      </c>
      <c r="D646">
        <v>18</v>
      </c>
      <c r="E646" t="s">
        <v>10</v>
      </c>
      <c r="F646" t="s">
        <v>15</v>
      </c>
      <c r="G646" t="s">
        <v>68</v>
      </c>
      <c r="H646" s="10">
        <v>46113.569155092591</v>
      </c>
    </row>
    <row r="647" spans="1:8" x14ac:dyDescent="0.25">
      <c r="A647">
        <v>653</v>
      </c>
      <c r="B647" t="s">
        <v>382</v>
      </c>
      <c r="C647" t="s">
        <v>145</v>
      </c>
      <c r="D647">
        <v>20</v>
      </c>
      <c r="E647" t="s">
        <v>26</v>
      </c>
      <c r="F647" t="s">
        <v>73</v>
      </c>
      <c r="G647" t="s">
        <v>46</v>
      </c>
      <c r="H647" s="10">
        <v>46113.569525462961</v>
      </c>
    </row>
    <row r="648" spans="1:8" x14ac:dyDescent="0.25">
      <c r="A648">
        <v>654</v>
      </c>
      <c r="B648" t="s">
        <v>78</v>
      </c>
      <c r="C648" t="s">
        <v>94</v>
      </c>
      <c r="D648">
        <v>68</v>
      </c>
      <c r="E648" t="s">
        <v>10</v>
      </c>
      <c r="F648" t="s">
        <v>15</v>
      </c>
      <c r="G648" t="s">
        <v>80</v>
      </c>
      <c r="H648" s="10">
        <v>46113.570185185185</v>
      </c>
    </row>
    <row r="649" spans="1:8" x14ac:dyDescent="0.25">
      <c r="A649">
        <v>655</v>
      </c>
      <c r="B649" t="s">
        <v>701</v>
      </c>
      <c r="C649" t="s">
        <v>702</v>
      </c>
      <c r="D649">
        <v>21</v>
      </c>
      <c r="E649" t="s">
        <v>26</v>
      </c>
      <c r="F649" t="s">
        <v>20</v>
      </c>
      <c r="G649" t="s">
        <v>16</v>
      </c>
      <c r="H649" s="10">
        <v>46113.570439814815</v>
      </c>
    </row>
    <row r="650" spans="1:8" x14ac:dyDescent="0.25">
      <c r="A650">
        <v>656</v>
      </c>
      <c r="B650" t="s">
        <v>194</v>
      </c>
      <c r="C650" t="s">
        <v>273</v>
      </c>
      <c r="D650">
        <v>43</v>
      </c>
      <c r="E650" t="s">
        <v>26</v>
      </c>
      <c r="F650" t="s">
        <v>33</v>
      </c>
      <c r="G650" t="s">
        <v>23</v>
      </c>
      <c r="H650" s="10">
        <v>46113.57104166667</v>
      </c>
    </row>
    <row r="651" spans="1:8" x14ac:dyDescent="0.25">
      <c r="A651">
        <v>657</v>
      </c>
      <c r="B651" t="s">
        <v>240</v>
      </c>
      <c r="C651" t="s">
        <v>273</v>
      </c>
      <c r="D651">
        <v>18</v>
      </c>
      <c r="E651" t="s">
        <v>10</v>
      </c>
      <c r="F651" t="s">
        <v>29</v>
      </c>
      <c r="G651" t="s">
        <v>57</v>
      </c>
      <c r="H651" s="10">
        <v>46113.57167824074</v>
      </c>
    </row>
    <row r="652" spans="1:8" x14ac:dyDescent="0.25">
      <c r="A652">
        <v>658</v>
      </c>
      <c r="B652" t="s">
        <v>703</v>
      </c>
      <c r="C652" t="s">
        <v>550</v>
      </c>
      <c r="D652">
        <v>68</v>
      </c>
      <c r="E652" t="s">
        <v>26</v>
      </c>
      <c r="F652" t="s">
        <v>20</v>
      </c>
      <c r="G652" t="s">
        <v>46</v>
      </c>
      <c r="H652" s="10">
        <v>46113.571840277778</v>
      </c>
    </row>
    <row r="653" spans="1:8" x14ac:dyDescent="0.25">
      <c r="A653">
        <v>659</v>
      </c>
      <c r="B653" t="s">
        <v>630</v>
      </c>
      <c r="C653" t="s">
        <v>704</v>
      </c>
      <c r="D653">
        <v>41</v>
      </c>
      <c r="E653" t="s">
        <v>19</v>
      </c>
      <c r="F653" t="s">
        <v>45</v>
      </c>
      <c r="G653" t="s">
        <v>54</v>
      </c>
      <c r="H653" s="10">
        <v>46113.572129629632</v>
      </c>
    </row>
    <row r="654" spans="1:8" x14ac:dyDescent="0.25">
      <c r="A654">
        <v>660</v>
      </c>
      <c r="B654" t="s">
        <v>134</v>
      </c>
      <c r="C654" t="s">
        <v>705</v>
      </c>
      <c r="D654">
        <v>46</v>
      </c>
      <c r="E654" t="s">
        <v>26</v>
      </c>
      <c r="F654" t="s">
        <v>11</v>
      </c>
      <c r="G654" t="s">
        <v>30</v>
      </c>
      <c r="H654" s="10">
        <v>46113.572442129633</v>
      </c>
    </row>
    <row r="655" spans="1:8" x14ac:dyDescent="0.25">
      <c r="A655">
        <v>661</v>
      </c>
      <c r="B655" t="s">
        <v>47</v>
      </c>
      <c r="C655" t="s">
        <v>706</v>
      </c>
      <c r="D655">
        <v>46</v>
      </c>
      <c r="E655" t="s">
        <v>19</v>
      </c>
      <c r="F655" t="s">
        <v>45</v>
      </c>
      <c r="G655" t="s">
        <v>57</v>
      </c>
      <c r="H655" s="10">
        <v>46113.572997685187</v>
      </c>
    </row>
    <row r="656" spans="1:8" x14ac:dyDescent="0.25">
      <c r="A656">
        <v>662</v>
      </c>
      <c r="B656" t="s">
        <v>707</v>
      </c>
      <c r="C656" t="s">
        <v>584</v>
      </c>
      <c r="D656">
        <v>46</v>
      </c>
      <c r="E656" t="s">
        <v>10</v>
      </c>
      <c r="F656" t="s">
        <v>29</v>
      </c>
      <c r="G656" t="s">
        <v>133</v>
      </c>
      <c r="H656" s="10">
        <v>46113.573379629626</v>
      </c>
    </row>
    <row r="657" spans="1:8" x14ac:dyDescent="0.25">
      <c r="A657">
        <v>663</v>
      </c>
      <c r="B657" t="s">
        <v>357</v>
      </c>
      <c r="C657" t="s">
        <v>708</v>
      </c>
      <c r="D657">
        <v>34</v>
      </c>
      <c r="E657" t="s">
        <v>26</v>
      </c>
      <c r="F657" t="s">
        <v>45</v>
      </c>
      <c r="G657" t="s">
        <v>36</v>
      </c>
      <c r="H657" s="10">
        <v>46113.574004629627</v>
      </c>
    </row>
    <row r="658" spans="1:8" x14ac:dyDescent="0.25">
      <c r="A658">
        <v>664</v>
      </c>
      <c r="B658" t="s">
        <v>63</v>
      </c>
      <c r="C658" t="s">
        <v>172</v>
      </c>
      <c r="D658">
        <v>26</v>
      </c>
      <c r="E658" t="s">
        <v>19</v>
      </c>
      <c r="F658" t="s">
        <v>33</v>
      </c>
      <c r="G658" t="s">
        <v>23</v>
      </c>
      <c r="H658" s="10">
        <v>46113.574502314812</v>
      </c>
    </row>
    <row r="659" spans="1:8" x14ac:dyDescent="0.25">
      <c r="A659">
        <v>665</v>
      </c>
      <c r="B659" t="s">
        <v>151</v>
      </c>
      <c r="C659" t="s">
        <v>709</v>
      </c>
      <c r="D659">
        <v>64</v>
      </c>
      <c r="E659" t="s">
        <v>26</v>
      </c>
      <c r="F659" t="s">
        <v>29</v>
      </c>
      <c r="G659" t="s">
        <v>76</v>
      </c>
      <c r="H659" s="10">
        <v>46113.575092592589</v>
      </c>
    </row>
    <row r="660" spans="1:8" x14ac:dyDescent="0.25">
      <c r="A660">
        <v>666</v>
      </c>
      <c r="B660" t="s">
        <v>694</v>
      </c>
      <c r="C660" t="s">
        <v>620</v>
      </c>
      <c r="D660">
        <v>27</v>
      </c>
      <c r="E660" t="s">
        <v>19</v>
      </c>
      <c r="F660" t="s">
        <v>29</v>
      </c>
      <c r="G660" t="s">
        <v>39</v>
      </c>
      <c r="H660" s="10">
        <v>46113.57534722222</v>
      </c>
    </row>
    <row r="661" spans="1:8" x14ac:dyDescent="0.25">
      <c r="A661">
        <v>667</v>
      </c>
      <c r="B661" t="s">
        <v>411</v>
      </c>
      <c r="C661" t="s">
        <v>602</v>
      </c>
      <c r="D661">
        <v>48</v>
      </c>
      <c r="E661" t="s">
        <v>10</v>
      </c>
      <c r="F661" t="s">
        <v>73</v>
      </c>
      <c r="G661" t="s">
        <v>76</v>
      </c>
      <c r="H661" s="10">
        <v>46113.575567129628</v>
      </c>
    </row>
    <row r="662" spans="1:8" x14ac:dyDescent="0.25">
      <c r="A662">
        <v>668</v>
      </c>
      <c r="B662" t="s">
        <v>300</v>
      </c>
      <c r="C662" t="s">
        <v>237</v>
      </c>
      <c r="D662">
        <v>35</v>
      </c>
      <c r="E662" t="s">
        <v>19</v>
      </c>
      <c r="F662" t="s">
        <v>11</v>
      </c>
      <c r="G662" t="s">
        <v>51</v>
      </c>
      <c r="H662" s="10">
        <v>46113.576157407406</v>
      </c>
    </row>
    <row r="663" spans="1:8" x14ac:dyDescent="0.25">
      <c r="A663">
        <v>669</v>
      </c>
      <c r="B663" t="s">
        <v>710</v>
      </c>
      <c r="C663" t="s">
        <v>711</v>
      </c>
      <c r="D663">
        <v>42</v>
      </c>
      <c r="E663" t="s">
        <v>26</v>
      </c>
      <c r="F663" t="s">
        <v>33</v>
      </c>
      <c r="G663" t="s">
        <v>130</v>
      </c>
      <c r="H663" s="10">
        <v>46113.576597222222</v>
      </c>
    </row>
    <row r="664" spans="1:8" x14ac:dyDescent="0.25">
      <c r="A664">
        <v>670</v>
      </c>
      <c r="B664" t="s">
        <v>240</v>
      </c>
      <c r="C664" t="s">
        <v>712</v>
      </c>
      <c r="D664">
        <v>70</v>
      </c>
      <c r="E664" t="s">
        <v>26</v>
      </c>
      <c r="F664" t="s">
        <v>73</v>
      </c>
      <c r="G664" t="s">
        <v>46</v>
      </c>
      <c r="H664" s="10">
        <v>46113.57675925926</v>
      </c>
    </row>
    <row r="665" spans="1:8" x14ac:dyDescent="0.25">
      <c r="A665">
        <v>671</v>
      </c>
      <c r="B665" t="s">
        <v>84</v>
      </c>
      <c r="C665" t="s">
        <v>713</v>
      </c>
      <c r="D665">
        <v>19</v>
      </c>
      <c r="E665" t="s">
        <v>10</v>
      </c>
      <c r="F665" t="s">
        <v>15</v>
      </c>
      <c r="G665" t="s">
        <v>39</v>
      </c>
      <c r="H665" s="10">
        <v>46113.577291666668</v>
      </c>
    </row>
    <row r="666" spans="1:8" x14ac:dyDescent="0.25">
      <c r="A666">
        <v>672</v>
      </c>
      <c r="B666" t="s">
        <v>78</v>
      </c>
      <c r="C666" t="s">
        <v>714</v>
      </c>
      <c r="D666">
        <v>54</v>
      </c>
      <c r="E666" t="s">
        <v>19</v>
      </c>
      <c r="F666" t="s">
        <v>45</v>
      </c>
      <c r="G666" t="s">
        <v>133</v>
      </c>
      <c r="H666" s="10">
        <v>46113.577939814815</v>
      </c>
    </row>
    <row r="667" spans="1:8" x14ac:dyDescent="0.25">
      <c r="A667">
        <v>673</v>
      </c>
      <c r="B667" t="s">
        <v>155</v>
      </c>
      <c r="C667" t="s">
        <v>542</v>
      </c>
      <c r="D667">
        <v>44</v>
      </c>
      <c r="E667" t="s">
        <v>19</v>
      </c>
      <c r="F667" t="s">
        <v>29</v>
      </c>
      <c r="G667" t="s">
        <v>46</v>
      </c>
      <c r="H667" s="10">
        <v>46113.57849537037</v>
      </c>
    </row>
    <row r="668" spans="1:8" x14ac:dyDescent="0.25">
      <c r="A668">
        <v>674</v>
      </c>
      <c r="B668" t="s">
        <v>715</v>
      </c>
      <c r="C668" t="s">
        <v>628</v>
      </c>
      <c r="D668">
        <v>44</v>
      </c>
      <c r="E668" t="s">
        <v>10</v>
      </c>
      <c r="F668" t="s">
        <v>20</v>
      </c>
      <c r="G668" t="s">
        <v>76</v>
      </c>
      <c r="H668" s="10">
        <v>46113.57912037037</v>
      </c>
    </row>
    <row r="669" spans="1:8" x14ac:dyDescent="0.25">
      <c r="A669">
        <v>675</v>
      </c>
      <c r="B669" t="s">
        <v>206</v>
      </c>
      <c r="C669" t="s">
        <v>716</v>
      </c>
      <c r="D669">
        <v>26</v>
      </c>
      <c r="E669" t="s">
        <v>26</v>
      </c>
      <c r="F669" t="s">
        <v>20</v>
      </c>
      <c r="G669" t="s">
        <v>36</v>
      </c>
      <c r="H669" s="10">
        <v>46113.579583333332</v>
      </c>
    </row>
    <row r="670" spans="1:8" x14ac:dyDescent="0.25">
      <c r="A670">
        <v>676</v>
      </c>
      <c r="B670" t="s">
        <v>717</v>
      </c>
      <c r="C670" t="s">
        <v>705</v>
      </c>
      <c r="D670">
        <v>25</v>
      </c>
      <c r="E670" t="s">
        <v>19</v>
      </c>
      <c r="F670" t="s">
        <v>33</v>
      </c>
      <c r="G670" t="s">
        <v>51</v>
      </c>
      <c r="H670" s="10">
        <v>46113.580046296294</v>
      </c>
    </row>
    <row r="671" spans="1:8" x14ac:dyDescent="0.25">
      <c r="A671">
        <v>677</v>
      </c>
      <c r="B671" t="s">
        <v>100</v>
      </c>
      <c r="C671" t="s">
        <v>718</v>
      </c>
      <c r="D671">
        <v>38</v>
      </c>
      <c r="E671" t="s">
        <v>19</v>
      </c>
      <c r="F671" t="s">
        <v>73</v>
      </c>
      <c r="G671" t="s">
        <v>51</v>
      </c>
      <c r="H671" s="10">
        <v>46113.580277777779</v>
      </c>
    </row>
    <row r="672" spans="1:8" x14ac:dyDescent="0.25">
      <c r="A672">
        <v>678</v>
      </c>
      <c r="B672" t="s">
        <v>719</v>
      </c>
      <c r="C672" t="s">
        <v>572</v>
      </c>
      <c r="D672">
        <v>60</v>
      </c>
      <c r="E672" t="s">
        <v>26</v>
      </c>
      <c r="F672" t="s">
        <v>45</v>
      </c>
      <c r="G672" t="s">
        <v>23</v>
      </c>
      <c r="H672" s="10">
        <v>46113.580868055556</v>
      </c>
    </row>
    <row r="673" spans="1:8" x14ac:dyDescent="0.25">
      <c r="A673">
        <v>679</v>
      </c>
      <c r="B673" t="s">
        <v>194</v>
      </c>
      <c r="C673" t="s">
        <v>720</v>
      </c>
      <c r="D673">
        <v>23</v>
      </c>
      <c r="E673" t="s">
        <v>19</v>
      </c>
      <c r="F673" t="s">
        <v>73</v>
      </c>
      <c r="G673" t="s">
        <v>99</v>
      </c>
      <c r="H673" s="10">
        <v>46113.581504629627</v>
      </c>
    </row>
    <row r="674" spans="1:8" x14ac:dyDescent="0.25">
      <c r="A674">
        <v>680</v>
      </c>
      <c r="B674" t="s">
        <v>206</v>
      </c>
      <c r="C674" t="s">
        <v>649</v>
      </c>
      <c r="D674">
        <v>64</v>
      </c>
      <c r="E674" t="s">
        <v>10</v>
      </c>
      <c r="F674" t="s">
        <v>20</v>
      </c>
      <c r="G674" t="s">
        <v>54</v>
      </c>
      <c r="H674" s="10">
        <v>46113.581967592596</v>
      </c>
    </row>
    <row r="675" spans="1:8" x14ac:dyDescent="0.25">
      <c r="A675">
        <v>681</v>
      </c>
      <c r="B675" t="s">
        <v>357</v>
      </c>
      <c r="C675" t="s">
        <v>330</v>
      </c>
      <c r="D675">
        <v>29</v>
      </c>
      <c r="E675" t="s">
        <v>10</v>
      </c>
      <c r="F675" t="s">
        <v>15</v>
      </c>
      <c r="G675" t="s">
        <v>76</v>
      </c>
      <c r="H675" s="10">
        <v>46113.582083333335</v>
      </c>
    </row>
    <row r="676" spans="1:8" x14ac:dyDescent="0.25">
      <c r="A676">
        <v>682</v>
      </c>
      <c r="B676" t="s">
        <v>721</v>
      </c>
      <c r="C676" t="s">
        <v>722</v>
      </c>
      <c r="D676">
        <v>20</v>
      </c>
      <c r="E676" t="s">
        <v>19</v>
      </c>
      <c r="F676" t="s">
        <v>15</v>
      </c>
      <c r="G676" t="s">
        <v>76</v>
      </c>
      <c r="H676" s="10">
        <v>46113.582499999997</v>
      </c>
    </row>
    <row r="677" spans="1:8" x14ac:dyDescent="0.25">
      <c r="A677">
        <v>683</v>
      </c>
      <c r="B677" t="s">
        <v>556</v>
      </c>
      <c r="C677" t="s">
        <v>702</v>
      </c>
      <c r="D677">
        <v>43</v>
      </c>
      <c r="E677" t="s">
        <v>10</v>
      </c>
      <c r="F677" t="s">
        <v>45</v>
      </c>
      <c r="G677" t="s">
        <v>65</v>
      </c>
      <c r="H677" s="10">
        <v>46113.582673611112</v>
      </c>
    </row>
    <row r="678" spans="1:8" x14ac:dyDescent="0.25">
      <c r="A678">
        <v>684</v>
      </c>
      <c r="B678" t="s">
        <v>88</v>
      </c>
      <c r="C678" t="s">
        <v>295</v>
      </c>
      <c r="D678">
        <v>54</v>
      </c>
      <c r="E678" t="s">
        <v>26</v>
      </c>
      <c r="F678" t="s">
        <v>20</v>
      </c>
      <c r="G678" t="s">
        <v>16</v>
      </c>
      <c r="H678" s="10">
        <v>46113.583287037036</v>
      </c>
    </row>
    <row r="679" spans="1:8" x14ac:dyDescent="0.25">
      <c r="A679">
        <v>685</v>
      </c>
      <c r="B679" t="s">
        <v>184</v>
      </c>
      <c r="C679" t="s">
        <v>139</v>
      </c>
      <c r="D679">
        <v>39</v>
      </c>
      <c r="E679" t="s">
        <v>26</v>
      </c>
      <c r="F679" t="s">
        <v>33</v>
      </c>
      <c r="G679" t="s">
        <v>99</v>
      </c>
      <c r="H679" s="10">
        <v>46113.583541666667</v>
      </c>
    </row>
    <row r="680" spans="1:8" x14ac:dyDescent="0.25">
      <c r="A680">
        <v>686</v>
      </c>
      <c r="B680" t="s">
        <v>723</v>
      </c>
      <c r="C680" t="s">
        <v>714</v>
      </c>
      <c r="D680">
        <v>45</v>
      </c>
      <c r="E680" t="s">
        <v>26</v>
      </c>
      <c r="F680" t="s">
        <v>15</v>
      </c>
      <c r="G680" t="s">
        <v>130</v>
      </c>
      <c r="H680" s="10">
        <v>46113.58384259259</v>
      </c>
    </row>
    <row r="681" spans="1:8" x14ac:dyDescent="0.25">
      <c r="A681">
        <v>687</v>
      </c>
      <c r="B681" t="s">
        <v>724</v>
      </c>
      <c r="C681" t="s">
        <v>82</v>
      </c>
      <c r="D681">
        <v>33</v>
      </c>
      <c r="E681" t="s">
        <v>19</v>
      </c>
      <c r="F681" t="s">
        <v>20</v>
      </c>
      <c r="G681" t="s">
        <v>42</v>
      </c>
      <c r="H681" s="10">
        <v>46113.583993055552</v>
      </c>
    </row>
    <row r="682" spans="1:8" x14ac:dyDescent="0.25">
      <c r="A682">
        <v>688</v>
      </c>
      <c r="B682" t="s">
        <v>62</v>
      </c>
      <c r="C682" t="s">
        <v>348</v>
      </c>
      <c r="D682">
        <v>36</v>
      </c>
      <c r="E682" t="s">
        <v>10</v>
      </c>
      <c r="F682" t="s">
        <v>33</v>
      </c>
      <c r="G682" t="s">
        <v>114</v>
      </c>
      <c r="H682" s="10">
        <v>46113.584282407406</v>
      </c>
    </row>
    <row r="683" spans="1:8" x14ac:dyDescent="0.25">
      <c r="A683">
        <v>689</v>
      </c>
      <c r="B683" t="s">
        <v>55</v>
      </c>
      <c r="C683" t="s">
        <v>617</v>
      </c>
      <c r="D683">
        <v>47</v>
      </c>
      <c r="E683" t="s">
        <v>26</v>
      </c>
      <c r="F683" t="s">
        <v>20</v>
      </c>
      <c r="G683" t="s">
        <v>42</v>
      </c>
      <c r="H683" s="10">
        <v>46113.584930555553</v>
      </c>
    </row>
    <row r="684" spans="1:8" x14ac:dyDescent="0.25">
      <c r="A684">
        <v>690</v>
      </c>
      <c r="B684" t="s">
        <v>112</v>
      </c>
      <c r="C684" t="s">
        <v>725</v>
      </c>
      <c r="D684">
        <v>22</v>
      </c>
      <c r="E684" t="s">
        <v>19</v>
      </c>
      <c r="F684" t="s">
        <v>20</v>
      </c>
      <c r="G684" t="s">
        <v>114</v>
      </c>
      <c r="H684" s="10">
        <v>46113.585335648146</v>
      </c>
    </row>
    <row r="685" spans="1:8" x14ac:dyDescent="0.25">
      <c r="A685">
        <v>691</v>
      </c>
      <c r="B685" t="s">
        <v>615</v>
      </c>
      <c r="C685" t="s">
        <v>444</v>
      </c>
      <c r="D685">
        <v>21</v>
      </c>
      <c r="E685" t="s">
        <v>19</v>
      </c>
      <c r="F685" t="s">
        <v>73</v>
      </c>
      <c r="G685" t="s">
        <v>46</v>
      </c>
      <c r="H685" s="10">
        <v>46113.585486111115</v>
      </c>
    </row>
    <row r="686" spans="1:8" x14ac:dyDescent="0.25">
      <c r="A686">
        <v>692</v>
      </c>
      <c r="B686" t="s">
        <v>84</v>
      </c>
      <c r="C686" t="s">
        <v>346</v>
      </c>
      <c r="D686">
        <v>64</v>
      </c>
      <c r="E686" t="s">
        <v>26</v>
      </c>
      <c r="F686" t="s">
        <v>15</v>
      </c>
      <c r="G686" t="s">
        <v>70</v>
      </c>
      <c r="H686" s="10">
        <v>46113.586168981485</v>
      </c>
    </row>
    <row r="687" spans="1:8" x14ac:dyDescent="0.25">
      <c r="A687">
        <v>693</v>
      </c>
      <c r="B687" t="s">
        <v>726</v>
      </c>
      <c r="C687" t="s">
        <v>727</v>
      </c>
      <c r="D687">
        <v>21</v>
      </c>
      <c r="E687" t="s">
        <v>26</v>
      </c>
      <c r="F687" t="s">
        <v>15</v>
      </c>
      <c r="G687" t="s">
        <v>54</v>
      </c>
      <c r="H687" s="10">
        <v>46113.58630787037</v>
      </c>
    </row>
    <row r="688" spans="1:8" x14ac:dyDescent="0.25">
      <c r="A688">
        <v>694</v>
      </c>
      <c r="B688" t="s">
        <v>117</v>
      </c>
      <c r="C688" t="s">
        <v>728</v>
      </c>
      <c r="D688">
        <v>55</v>
      </c>
      <c r="E688" t="s">
        <v>10</v>
      </c>
      <c r="F688" t="s">
        <v>20</v>
      </c>
      <c r="G688" t="s">
        <v>76</v>
      </c>
      <c r="H688" s="10">
        <v>46113.586736111109</v>
      </c>
    </row>
    <row r="689" spans="1:8" x14ac:dyDescent="0.25">
      <c r="A689">
        <v>695</v>
      </c>
      <c r="B689" t="s">
        <v>62</v>
      </c>
      <c r="C689" t="s">
        <v>729</v>
      </c>
      <c r="D689">
        <v>64</v>
      </c>
      <c r="E689" t="s">
        <v>10</v>
      </c>
      <c r="F689" t="s">
        <v>33</v>
      </c>
      <c r="G689" t="s">
        <v>57</v>
      </c>
      <c r="H689" s="10">
        <v>46113.586898148147</v>
      </c>
    </row>
    <row r="690" spans="1:8" x14ac:dyDescent="0.25">
      <c r="A690">
        <v>696</v>
      </c>
      <c r="B690" t="s">
        <v>589</v>
      </c>
      <c r="C690" t="s">
        <v>730</v>
      </c>
      <c r="D690">
        <v>21</v>
      </c>
      <c r="E690" t="s">
        <v>10</v>
      </c>
      <c r="F690" t="s">
        <v>11</v>
      </c>
      <c r="G690" t="s">
        <v>16</v>
      </c>
      <c r="H690" s="10">
        <v>46113.587534722225</v>
      </c>
    </row>
    <row r="691" spans="1:8" x14ac:dyDescent="0.25">
      <c r="A691">
        <v>697</v>
      </c>
      <c r="B691" t="s">
        <v>55</v>
      </c>
      <c r="C691" t="s">
        <v>334</v>
      </c>
      <c r="D691">
        <v>52</v>
      </c>
      <c r="E691" t="s">
        <v>26</v>
      </c>
      <c r="F691" t="s">
        <v>15</v>
      </c>
      <c r="G691" t="s">
        <v>42</v>
      </c>
      <c r="H691" s="10">
        <v>46113.588194444441</v>
      </c>
    </row>
    <row r="692" spans="1:8" x14ac:dyDescent="0.25">
      <c r="A692">
        <v>698</v>
      </c>
      <c r="B692" t="s">
        <v>180</v>
      </c>
      <c r="C692" t="s">
        <v>731</v>
      </c>
      <c r="D692">
        <v>32</v>
      </c>
      <c r="E692" t="s">
        <v>19</v>
      </c>
      <c r="F692" t="s">
        <v>45</v>
      </c>
      <c r="G692" t="s">
        <v>76</v>
      </c>
      <c r="H692" s="10">
        <v>46113.588506944441</v>
      </c>
    </row>
    <row r="693" spans="1:8" x14ac:dyDescent="0.25">
      <c r="A693">
        <v>699</v>
      </c>
      <c r="B693" t="s">
        <v>62</v>
      </c>
      <c r="C693" t="s">
        <v>152</v>
      </c>
      <c r="D693">
        <v>29</v>
      </c>
      <c r="E693" t="s">
        <v>19</v>
      </c>
      <c r="F693" t="s">
        <v>20</v>
      </c>
      <c r="G693" t="s">
        <v>51</v>
      </c>
      <c r="H693" s="10">
        <v>46113.589178240742</v>
      </c>
    </row>
    <row r="694" spans="1:8" x14ac:dyDescent="0.25">
      <c r="A694">
        <v>700</v>
      </c>
      <c r="B694" t="s">
        <v>429</v>
      </c>
      <c r="C694" t="s">
        <v>732</v>
      </c>
      <c r="D694">
        <v>38</v>
      </c>
      <c r="E694" t="s">
        <v>26</v>
      </c>
      <c r="F694" t="s">
        <v>45</v>
      </c>
      <c r="G694" t="s">
        <v>65</v>
      </c>
      <c r="H694" s="10">
        <v>46113.58929398148</v>
      </c>
    </row>
    <row r="695" spans="1:8" x14ac:dyDescent="0.25">
      <c r="A695">
        <v>701</v>
      </c>
      <c r="B695" t="s">
        <v>715</v>
      </c>
      <c r="C695" t="s">
        <v>733</v>
      </c>
      <c r="D695">
        <v>32</v>
      </c>
      <c r="E695" t="s">
        <v>10</v>
      </c>
      <c r="F695" t="s">
        <v>73</v>
      </c>
      <c r="G695" t="s">
        <v>30</v>
      </c>
      <c r="H695" s="10">
        <v>46113.589432870373</v>
      </c>
    </row>
    <row r="696" spans="1:8" x14ac:dyDescent="0.25">
      <c r="A696">
        <v>702</v>
      </c>
      <c r="B696" t="s">
        <v>734</v>
      </c>
      <c r="C696" t="s">
        <v>135</v>
      </c>
      <c r="D696">
        <v>20</v>
      </c>
      <c r="E696" t="s">
        <v>26</v>
      </c>
      <c r="F696" t="s">
        <v>20</v>
      </c>
      <c r="G696" t="s">
        <v>46</v>
      </c>
      <c r="H696" s="10">
        <v>46113.589618055557</v>
      </c>
    </row>
    <row r="697" spans="1:8" x14ac:dyDescent="0.25">
      <c r="A697">
        <v>703</v>
      </c>
      <c r="B697" t="s">
        <v>86</v>
      </c>
      <c r="C697" t="s">
        <v>116</v>
      </c>
      <c r="D697">
        <v>36</v>
      </c>
      <c r="E697" t="s">
        <v>19</v>
      </c>
      <c r="F697" t="s">
        <v>11</v>
      </c>
      <c r="G697" t="s">
        <v>16</v>
      </c>
      <c r="H697" s="10">
        <v>46113.59002314815</v>
      </c>
    </row>
    <row r="698" spans="1:8" x14ac:dyDescent="0.25">
      <c r="A698">
        <v>704</v>
      </c>
      <c r="B698" t="s">
        <v>81</v>
      </c>
      <c r="C698" t="s">
        <v>644</v>
      </c>
      <c r="D698">
        <v>64</v>
      </c>
      <c r="E698" t="s">
        <v>10</v>
      </c>
      <c r="F698" t="s">
        <v>33</v>
      </c>
      <c r="G698" t="s">
        <v>36</v>
      </c>
      <c r="H698" s="10">
        <v>46113.590451388889</v>
      </c>
    </row>
    <row r="699" spans="1:8" x14ac:dyDescent="0.25">
      <c r="A699">
        <v>705</v>
      </c>
      <c r="B699" t="s">
        <v>262</v>
      </c>
      <c r="C699" t="s">
        <v>191</v>
      </c>
      <c r="D699">
        <v>34</v>
      </c>
      <c r="E699" t="s">
        <v>19</v>
      </c>
      <c r="F699" t="s">
        <v>20</v>
      </c>
      <c r="G699" t="s">
        <v>23</v>
      </c>
      <c r="H699" s="10">
        <v>46113.590868055559</v>
      </c>
    </row>
    <row r="700" spans="1:8" x14ac:dyDescent="0.25">
      <c r="A700">
        <v>706</v>
      </c>
      <c r="B700" t="s">
        <v>178</v>
      </c>
      <c r="C700" t="s">
        <v>22</v>
      </c>
      <c r="D700">
        <v>45</v>
      </c>
      <c r="E700" t="s">
        <v>26</v>
      </c>
      <c r="F700" t="s">
        <v>33</v>
      </c>
      <c r="G700" t="s">
        <v>99</v>
      </c>
      <c r="H700" s="10">
        <v>46113.59101851852</v>
      </c>
    </row>
    <row r="701" spans="1:8" x14ac:dyDescent="0.25">
      <c r="A701">
        <v>707</v>
      </c>
      <c r="B701" t="s">
        <v>735</v>
      </c>
      <c r="C701" t="s">
        <v>286</v>
      </c>
      <c r="D701">
        <v>37</v>
      </c>
      <c r="E701" t="s">
        <v>10</v>
      </c>
      <c r="F701" t="s">
        <v>11</v>
      </c>
      <c r="G701" t="s">
        <v>16</v>
      </c>
      <c r="H701" s="10">
        <v>46113.591689814813</v>
      </c>
    </row>
    <row r="702" spans="1:8" x14ac:dyDescent="0.25">
      <c r="A702">
        <v>708</v>
      </c>
      <c r="B702" t="s">
        <v>78</v>
      </c>
      <c r="C702" t="s">
        <v>227</v>
      </c>
      <c r="D702">
        <v>27</v>
      </c>
      <c r="E702" t="s">
        <v>26</v>
      </c>
      <c r="F702" t="s">
        <v>15</v>
      </c>
      <c r="G702" t="s">
        <v>51</v>
      </c>
      <c r="H702" s="10">
        <v>46119.565081018518</v>
      </c>
    </row>
    <row r="703" spans="1:8" x14ac:dyDescent="0.25">
      <c r="A703">
        <v>709</v>
      </c>
      <c r="B703" t="s">
        <v>127</v>
      </c>
      <c r="C703" t="s">
        <v>736</v>
      </c>
      <c r="D703">
        <v>43</v>
      </c>
      <c r="E703" t="s">
        <v>10</v>
      </c>
      <c r="F703" t="s">
        <v>20</v>
      </c>
      <c r="G703" t="s">
        <v>23</v>
      </c>
      <c r="H703" s="10">
        <v>46119.565763888888</v>
      </c>
    </row>
    <row r="704" spans="1:8" x14ac:dyDescent="0.25">
      <c r="A704">
        <v>710</v>
      </c>
      <c r="B704" t="s">
        <v>74</v>
      </c>
      <c r="C704" t="s">
        <v>737</v>
      </c>
      <c r="D704">
        <v>40</v>
      </c>
      <c r="E704" t="s">
        <v>26</v>
      </c>
      <c r="F704" t="s">
        <v>15</v>
      </c>
      <c r="G704" t="s">
        <v>36</v>
      </c>
      <c r="H704" s="10">
        <v>46119.566296296296</v>
      </c>
    </row>
    <row r="705" spans="1:8" x14ac:dyDescent="0.25">
      <c r="A705">
        <v>711</v>
      </c>
      <c r="B705" t="s">
        <v>74</v>
      </c>
      <c r="C705" t="s">
        <v>738</v>
      </c>
      <c r="D705">
        <v>55</v>
      </c>
      <c r="E705" t="s">
        <v>26</v>
      </c>
      <c r="F705" t="s">
        <v>15</v>
      </c>
      <c r="G705" t="s">
        <v>12</v>
      </c>
      <c r="H705" s="10">
        <v>46119.566932870373</v>
      </c>
    </row>
    <row r="706" spans="1:8" x14ac:dyDescent="0.25">
      <c r="A706">
        <v>712</v>
      </c>
      <c r="B706" t="s">
        <v>507</v>
      </c>
      <c r="C706" t="s">
        <v>113</v>
      </c>
      <c r="D706">
        <v>53</v>
      </c>
      <c r="E706" t="s">
        <v>26</v>
      </c>
      <c r="F706" t="s">
        <v>15</v>
      </c>
      <c r="G706" t="s">
        <v>54</v>
      </c>
      <c r="H706" s="10">
        <v>46119.567129629628</v>
      </c>
    </row>
    <row r="707" spans="1:8" x14ac:dyDescent="0.25">
      <c r="A707">
        <v>713</v>
      </c>
      <c r="B707" t="s">
        <v>58</v>
      </c>
      <c r="C707" t="s">
        <v>389</v>
      </c>
      <c r="D707">
        <v>21</v>
      </c>
      <c r="E707" t="s">
        <v>19</v>
      </c>
      <c r="F707" t="s">
        <v>33</v>
      </c>
      <c r="G707" t="s">
        <v>39</v>
      </c>
      <c r="H707" s="10">
        <v>46119.567280092589</v>
      </c>
    </row>
    <row r="708" spans="1:8" x14ac:dyDescent="0.25">
      <c r="A708">
        <v>714</v>
      </c>
      <c r="B708" t="s">
        <v>142</v>
      </c>
      <c r="C708" t="s">
        <v>739</v>
      </c>
      <c r="D708">
        <v>29</v>
      </c>
      <c r="E708" t="s">
        <v>26</v>
      </c>
      <c r="F708" t="s">
        <v>20</v>
      </c>
      <c r="G708" t="s">
        <v>80</v>
      </c>
      <c r="H708" s="10">
        <v>46119.567430555559</v>
      </c>
    </row>
    <row r="709" spans="1:8" x14ac:dyDescent="0.25">
      <c r="A709">
        <v>715</v>
      </c>
      <c r="B709" t="s">
        <v>586</v>
      </c>
      <c r="C709" t="s">
        <v>664</v>
      </c>
      <c r="D709">
        <v>62</v>
      </c>
      <c r="E709" t="s">
        <v>26</v>
      </c>
      <c r="F709" t="s">
        <v>33</v>
      </c>
      <c r="G709" t="s">
        <v>65</v>
      </c>
      <c r="H709" s="10">
        <v>46119.56763888889</v>
      </c>
    </row>
    <row r="710" spans="1:8" x14ac:dyDescent="0.25">
      <c r="A710">
        <v>716</v>
      </c>
      <c r="B710" t="s">
        <v>740</v>
      </c>
      <c r="C710" t="s">
        <v>139</v>
      </c>
      <c r="D710">
        <v>65</v>
      </c>
      <c r="E710" t="s">
        <v>10</v>
      </c>
      <c r="F710" t="s">
        <v>33</v>
      </c>
      <c r="G710" t="s">
        <v>51</v>
      </c>
      <c r="H710" s="10">
        <v>46119.568171296298</v>
      </c>
    </row>
    <row r="711" spans="1:8" x14ac:dyDescent="0.25">
      <c r="A711">
        <v>717</v>
      </c>
      <c r="B711" t="s">
        <v>146</v>
      </c>
      <c r="C711" t="s">
        <v>139</v>
      </c>
      <c r="D711">
        <v>51</v>
      </c>
      <c r="E711" t="s">
        <v>19</v>
      </c>
      <c r="F711" t="s">
        <v>73</v>
      </c>
      <c r="G711" t="s">
        <v>54</v>
      </c>
      <c r="H711" s="10">
        <v>46119.568576388891</v>
      </c>
    </row>
    <row r="712" spans="1:8" x14ac:dyDescent="0.25">
      <c r="A712">
        <v>718</v>
      </c>
      <c r="B712" t="s">
        <v>466</v>
      </c>
      <c r="C712" t="s">
        <v>741</v>
      </c>
      <c r="D712">
        <v>70</v>
      </c>
      <c r="E712" t="s">
        <v>19</v>
      </c>
      <c r="F712" t="s">
        <v>11</v>
      </c>
      <c r="G712" t="s">
        <v>68</v>
      </c>
      <c r="H712" s="10">
        <v>46119.568969907406</v>
      </c>
    </row>
    <row r="713" spans="1:8" x14ac:dyDescent="0.25">
      <c r="A713">
        <v>719</v>
      </c>
      <c r="B713" t="s">
        <v>62</v>
      </c>
      <c r="C713" t="s">
        <v>389</v>
      </c>
      <c r="D713">
        <v>58</v>
      </c>
      <c r="E713" t="s">
        <v>19</v>
      </c>
      <c r="F713" t="s">
        <v>20</v>
      </c>
      <c r="G713" t="s">
        <v>12</v>
      </c>
      <c r="H713" s="10">
        <v>46119.569652777776</v>
      </c>
    </row>
    <row r="714" spans="1:8" x14ac:dyDescent="0.25">
      <c r="A714">
        <v>720</v>
      </c>
      <c r="B714" t="s">
        <v>220</v>
      </c>
      <c r="C714" t="s">
        <v>742</v>
      </c>
      <c r="D714">
        <v>20</v>
      </c>
      <c r="E714" t="s">
        <v>10</v>
      </c>
      <c r="F714" t="s">
        <v>45</v>
      </c>
      <c r="G714" t="s">
        <v>130</v>
      </c>
      <c r="H714" s="10">
        <v>46119.5700462963</v>
      </c>
    </row>
    <row r="715" spans="1:8" x14ac:dyDescent="0.25">
      <c r="A715">
        <v>721</v>
      </c>
      <c r="B715" t="s">
        <v>43</v>
      </c>
      <c r="C715" t="s">
        <v>743</v>
      </c>
      <c r="D715">
        <v>27</v>
      </c>
      <c r="E715" t="s">
        <v>10</v>
      </c>
      <c r="F715" t="s">
        <v>20</v>
      </c>
      <c r="G715" t="s">
        <v>23</v>
      </c>
      <c r="H715" s="10">
        <v>46119.570717592593</v>
      </c>
    </row>
    <row r="716" spans="1:8" x14ac:dyDescent="0.25">
      <c r="A716">
        <v>722</v>
      </c>
      <c r="B716" t="s">
        <v>744</v>
      </c>
      <c r="C716" t="s">
        <v>745</v>
      </c>
      <c r="D716">
        <v>70</v>
      </c>
      <c r="E716" t="s">
        <v>10</v>
      </c>
      <c r="F716" t="s">
        <v>29</v>
      </c>
      <c r="G716" t="s">
        <v>16</v>
      </c>
      <c r="H716" s="10">
        <v>46119.571284722224</v>
      </c>
    </row>
    <row r="717" spans="1:8" x14ac:dyDescent="0.25">
      <c r="A717">
        <v>723</v>
      </c>
      <c r="B717" t="s">
        <v>131</v>
      </c>
      <c r="C717" t="s">
        <v>176</v>
      </c>
      <c r="D717">
        <v>70</v>
      </c>
      <c r="E717" t="s">
        <v>10</v>
      </c>
      <c r="F717" t="s">
        <v>20</v>
      </c>
      <c r="G717" t="s">
        <v>99</v>
      </c>
      <c r="H717" s="10">
        <v>46119.571805555555</v>
      </c>
    </row>
    <row r="718" spans="1:8" x14ac:dyDescent="0.25">
      <c r="A718">
        <v>724</v>
      </c>
      <c r="B718" t="s">
        <v>481</v>
      </c>
      <c r="C718" t="s">
        <v>746</v>
      </c>
      <c r="D718">
        <v>34</v>
      </c>
      <c r="E718" t="s">
        <v>19</v>
      </c>
      <c r="F718" t="s">
        <v>11</v>
      </c>
      <c r="G718" t="s">
        <v>65</v>
      </c>
      <c r="H718" s="10">
        <v>46119.57240740741</v>
      </c>
    </row>
    <row r="719" spans="1:8" x14ac:dyDescent="0.25">
      <c r="A719">
        <v>725</v>
      </c>
      <c r="B719" t="s">
        <v>571</v>
      </c>
      <c r="C719" t="s">
        <v>747</v>
      </c>
      <c r="D719">
        <v>36</v>
      </c>
      <c r="E719" t="s">
        <v>19</v>
      </c>
      <c r="F719" t="s">
        <v>73</v>
      </c>
      <c r="G719" t="s">
        <v>65</v>
      </c>
      <c r="H719" s="10">
        <v>46119.572766203702</v>
      </c>
    </row>
    <row r="720" spans="1:8" x14ac:dyDescent="0.25">
      <c r="A720">
        <v>726</v>
      </c>
      <c r="B720" t="s">
        <v>127</v>
      </c>
      <c r="C720" t="s">
        <v>748</v>
      </c>
      <c r="D720">
        <v>32</v>
      </c>
      <c r="E720" t="s">
        <v>19</v>
      </c>
      <c r="F720" t="s">
        <v>11</v>
      </c>
      <c r="G720" t="s">
        <v>30</v>
      </c>
      <c r="H720" s="10">
        <v>46119.573148148149</v>
      </c>
    </row>
    <row r="721" spans="1:8" x14ac:dyDescent="0.25">
      <c r="A721">
        <v>727</v>
      </c>
      <c r="B721" t="s">
        <v>240</v>
      </c>
      <c r="C721" t="s">
        <v>749</v>
      </c>
      <c r="D721">
        <v>61</v>
      </c>
      <c r="E721" t="s">
        <v>10</v>
      </c>
      <c r="F721" t="s">
        <v>33</v>
      </c>
      <c r="G721" t="s">
        <v>30</v>
      </c>
      <c r="H721" s="10">
        <v>46119.573414351849</v>
      </c>
    </row>
    <row r="722" spans="1:8" x14ac:dyDescent="0.25">
      <c r="A722">
        <v>728</v>
      </c>
      <c r="B722" t="s">
        <v>194</v>
      </c>
      <c r="C722" t="s">
        <v>750</v>
      </c>
      <c r="D722">
        <v>64</v>
      </c>
      <c r="E722" t="s">
        <v>26</v>
      </c>
      <c r="F722" t="s">
        <v>11</v>
      </c>
      <c r="G722" t="s">
        <v>46</v>
      </c>
      <c r="H722" s="10">
        <v>46119.574016203704</v>
      </c>
    </row>
    <row r="723" spans="1:8" x14ac:dyDescent="0.25">
      <c r="A723">
        <v>729</v>
      </c>
      <c r="B723" t="s">
        <v>78</v>
      </c>
      <c r="C723" t="s">
        <v>751</v>
      </c>
      <c r="D723">
        <v>49</v>
      </c>
      <c r="E723" t="s">
        <v>26</v>
      </c>
      <c r="F723" t="s">
        <v>15</v>
      </c>
      <c r="G723" t="s">
        <v>70</v>
      </c>
      <c r="H723" s="10">
        <v>46119.574490740742</v>
      </c>
    </row>
    <row r="724" spans="1:8" x14ac:dyDescent="0.25">
      <c r="A724">
        <v>730</v>
      </c>
      <c r="B724" t="s">
        <v>752</v>
      </c>
      <c r="C724" t="s">
        <v>453</v>
      </c>
      <c r="D724">
        <v>61</v>
      </c>
      <c r="E724" t="s">
        <v>19</v>
      </c>
      <c r="F724" t="s">
        <v>45</v>
      </c>
      <c r="G724" t="s">
        <v>70</v>
      </c>
      <c r="H724" s="10">
        <v>46119.575173611112</v>
      </c>
    </row>
    <row r="725" spans="1:8" x14ac:dyDescent="0.25">
      <c r="A725">
        <v>731</v>
      </c>
      <c r="B725" t="s">
        <v>160</v>
      </c>
      <c r="C725" t="s">
        <v>463</v>
      </c>
      <c r="D725">
        <v>32</v>
      </c>
      <c r="E725" t="s">
        <v>10</v>
      </c>
      <c r="F725" t="s">
        <v>33</v>
      </c>
      <c r="G725" t="s">
        <v>51</v>
      </c>
      <c r="H725" s="10">
        <v>46119.575555555559</v>
      </c>
    </row>
    <row r="726" spans="1:8" x14ac:dyDescent="0.25">
      <c r="A726">
        <v>732</v>
      </c>
      <c r="B726" t="s">
        <v>81</v>
      </c>
      <c r="C726" t="s">
        <v>379</v>
      </c>
      <c r="D726">
        <v>42</v>
      </c>
      <c r="E726" t="s">
        <v>26</v>
      </c>
      <c r="F726" t="s">
        <v>73</v>
      </c>
      <c r="G726" t="s">
        <v>130</v>
      </c>
      <c r="H726" s="10">
        <v>46119.57607638889</v>
      </c>
    </row>
    <row r="727" spans="1:8" x14ac:dyDescent="0.25">
      <c r="A727">
        <v>733</v>
      </c>
      <c r="B727" t="s">
        <v>78</v>
      </c>
      <c r="C727" t="s">
        <v>720</v>
      </c>
      <c r="D727">
        <v>31</v>
      </c>
      <c r="E727" t="s">
        <v>19</v>
      </c>
      <c r="F727" t="s">
        <v>73</v>
      </c>
      <c r="G727" t="s">
        <v>130</v>
      </c>
      <c r="H727" s="10">
        <v>46119.576481481483</v>
      </c>
    </row>
    <row r="728" spans="1:8" x14ac:dyDescent="0.25">
      <c r="A728">
        <v>734</v>
      </c>
      <c r="B728" t="s">
        <v>240</v>
      </c>
      <c r="C728" t="s">
        <v>330</v>
      </c>
      <c r="D728">
        <v>36</v>
      </c>
      <c r="E728" t="s">
        <v>26</v>
      </c>
      <c r="F728" t="s">
        <v>11</v>
      </c>
      <c r="G728" t="s">
        <v>39</v>
      </c>
      <c r="H728" s="10">
        <v>46119.576874999999</v>
      </c>
    </row>
    <row r="729" spans="1:8" x14ac:dyDescent="0.25">
      <c r="A729">
        <v>735</v>
      </c>
      <c r="B729" t="s">
        <v>178</v>
      </c>
      <c r="C729" t="s">
        <v>753</v>
      </c>
      <c r="D729">
        <v>34</v>
      </c>
      <c r="E729" t="s">
        <v>10</v>
      </c>
      <c r="F729" t="s">
        <v>11</v>
      </c>
      <c r="G729" t="s">
        <v>70</v>
      </c>
      <c r="H729" s="10">
        <v>46119.577546296299</v>
      </c>
    </row>
    <row r="730" spans="1:8" x14ac:dyDescent="0.25">
      <c r="A730">
        <v>736</v>
      </c>
      <c r="B730" t="s">
        <v>315</v>
      </c>
      <c r="C730" t="s">
        <v>618</v>
      </c>
      <c r="D730">
        <v>32</v>
      </c>
      <c r="E730" t="s">
        <v>10</v>
      </c>
      <c r="F730" t="s">
        <v>29</v>
      </c>
      <c r="G730" t="s">
        <v>46</v>
      </c>
      <c r="H730" s="10">
        <v>46119.578055555554</v>
      </c>
    </row>
    <row r="731" spans="1:8" x14ac:dyDescent="0.25">
      <c r="A731">
        <v>737</v>
      </c>
      <c r="B731" t="s">
        <v>754</v>
      </c>
      <c r="C731" t="s">
        <v>755</v>
      </c>
      <c r="D731">
        <v>31</v>
      </c>
      <c r="E731" t="s">
        <v>19</v>
      </c>
      <c r="F731" t="s">
        <v>33</v>
      </c>
      <c r="G731" t="s">
        <v>16</v>
      </c>
      <c r="H731" s="10">
        <v>46119.578414351854</v>
      </c>
    </row>
    <row r="732" spans="1:8" x14ac:dyDescent="0.25">
      <c r="A732">
        <v>738</v>
      </c>
      <c r="B732" t="s">
        <v>262</v>
      </c>
      <c r="C732" t="s">
        <v>756</v>
      </c>
      <c r="D732">
        <v>25</v>
      </c>
      <c r="E732" t="s">
        <v>10</v>
      </c>
      <c r="F732" t="s">
        <v>45</v>
      </c>
      <c r="G732" t="s">
        <v>65</v>
      </c>
      <c r="H732" s="10">
        <v>46119.578923611109</v>
      </c>
    </row>
    <row r="733" spans="1:8" x14ac:dyDescent="0.25">
      <c r="A733">
        <v>739</v>
      </c>
      <c r="B733" t="s">
        <v>468</v>
      </c>
      <c r="C733" t="s">
        <v>757</v>
      </c>
      <c r="D733">
        <v>55</v>
      </c>
      <c r="E733" t="s">
        <v>10</v>
      </c>
      <c r="F733" t="s">
        <v>11</v>
      </c>
      <c r="G733" t="s">
        <v>51</v>
      </c>
      <c r="H733" s="10">
        <v>46119.579456018517</v>
      </c>
    </row>
    <row r="734" spans="1:8" x14ac:dyDescent="0.25">
      <c r="A734">
        <v>740</v>
      </c>
      <c r="B734" t="s">
        <v>553</v>
      </c>
      <c r="C734" t="s">
        <v>758</v>
      </c>
      <c r="D734">
        <v>65</v>
      </c>
      <c r="E734" t="s">
        <v>10</v>
      </c>
      <c r="F734" t="s">
        <v>20</v>
      </c>
      <c r="G734" t="s">
        <v>16</v>
      </c>
      <c r="H734" s="10">
        <v>46119.579895833333</v>
      </c>
    </row>
    <row r="735" spans="1:8" x14ac:dyDescent="0.25">
      <c r="A735">
        <v>741</v>
      </c>
      <c r="B735" t="s">
        <v>759</v>
      </c>
      <c r="C735" t="s">
        <v>652</v>
      </c>
      <c r="D735">
        <v>55</v>
      </c>
      <c r="E735" t="s">
        <v>26</v>
      </c>
      <c r="F735" t="s">
        <v>29</v>
      </c>
      <c r="G735" t="s">
        <v>54</v>
      </c>
      <c r="H735" s="10">
        <v>46119.580069444448</v>
      </c>
    </row>
    <row r="736" spans="1:8" x14ac:dyDescent="0.25">
      <c r="A736">
        <v>742</v>
      </c>
      <c r="B736" t="s">
        <v>507</v>
      </c>
      <c r="C736" t="s">
        <v>139</v>
      </c>
      <c r="D736">
        <v>55</v>
      </c>
      <c r="E736" t="s">
        <v>19</v>
      </c>
      <c r="F736" t="s">
        <v>29</v>
      </c>
      <c r="G736" t="s">
        <v>65</v>
      </c>
      <c r="H736" s="10">
        <v>46119.580266203702</v>
      </c>
    </row>
    <row r="737" spans="1:8" x14ac:dyDescent="0.25">
      <c r="A737">
        <v>743</v>
      </c>
      <c r="B737" t="s">
        <v>13</v>
      </c>
      <c r="C737" t="s">
        <v>265</v>
      </c>
      <c r="D737">
        <v>43</v>
      </c>
      <c r="E737" t="s">
        <v>26</v>
      </c>
      <c r="F737" t="s">
        <v>33</v>
      </c>
      <c r="G737" t="s">
        <v>130</v>
      </c>
      <c r="H737" s="10">
        <v>46119.580636574072</v>
      </c>
    </row>
    <row r="738" spans="1:8" x14ac:dyDescent="0.25">
      <c r="A738">
        <v>744</v>
      </c>
      <c r="B738" t="s">
        <v>84</v>
      </c>
      <c r="C738" t="s">
        <v>622</v>
      </c>
      <c r="D738">
        <v>29</v>
      </c>
      <c r="E738" t="s">
        <v>19</v>
      </c>
      <c r="F738" t="s">
        <v>45</v>
      </c>
      <c r="G738" t="s">
        <v>51</v>
      </c>
      <c r="H738" s="10">
        <v>46119.58090277778</v>
      </c>
    </row>
    <row r="739" spans="1:8" x14ac:dyDescent="0.25">
      <c r="A739">
        <v>745</v>
      </c>
      <c r="B739" t="s">
        <v>365</v>
      </c>
      <c r="C739" t="s">
        <v>760</v>
      </c>
      <c r="D739">
        <v>52</v>
      </c>
      <c r="E739" t="s">
        <v>10</v>
      </c>
      <c r="F739" t="s">
        <v>11</v>
      </c>
      <c r="G739" t="s">
        <v>39</v>
      </c>
      <c r="H739" s="10">
        <v>46119.581388888888</v>
      </c>
    </row>
    <row r="740" spans="1:8" x14ac:dyDescent="0.25">
      <c r="A740">
        <v>746</v>
      </c>
      <c r="B740" t="s">
        <v>166</v>
      </c>
      <c r="C740" t="s">
        <v>91</v>
      </c>
      <c r="D740">
        <v>49</v>
      </c>
      <c r="E740" t="s">
        <v>19</v>
      </c>
      <c r="F740" t="s">
        <v>11</v>
      </c>
      <c r="G740" t="s">
        <v>46</v>
      </c>
      <c r="H740" s="10">
        <v>46119.582013888888</v>
      </c>
    </row>
    <row r="741" spans="1:8" x14ac:dyDescent="0.25">
      <c r="A741">
        <v>747</v>
      </c>
      <c r="B741" t="s">
        <v>180</v>
      </c>
      <c r="C741" t="s">
        <v>87</v>
      </c>
      <c r="D741">
        <v>32</v>
      </c>
      <c r="E741" t="s">
        <v>26</v>
      </c>
      <c r="F741" t="s">
        <v>45</v>
      </c>
      <c r="G741" t="s">
        <v>30</v>
      </c>
      <c r="H741" s="10">
        <v>46119.582592592589</v>
      </c>
    </row>
    <row r="742" spans="1:8" x14ac:dyDescent="0.25">
      <c r="A742">
        <v>748</v>
      </c>
      <c r="B742" t="s">
        <v>71</v>
      </c>
      <c r="C742" t="s">
        <v>705</v>
      </c>
      <c r="D742">
        <v>62</v>
      </c>
      <c r="E742" t="s">
        <v>10</v>
      </c>
      <c r="F742" t="s">
        <v>29</v>
      </c>
      <c r="G742" t="s">
        <v>46</v>
      </c>
      <c r="H742" s="10">
        <v>46119.583101851851</v>
      </c>
    </row>
    <row r="743" spans="1:8" x14ac:dyDescent="0.25">
      <c r="A743">
        <v>749</v>
      </c>
      <c r="B743" t="s">
        <v>405</v>
      </c>
      <c r="C743" t="s">
        <v>304</v>
      </c>
      <c r="D743">
        <v>18</v>
      </c>
      <c r="E743" t="s">
        <v>26</v>
      </c>
      <c r="F743" t="s">
        <v>15</v>
      </c>
      <c r="G743" t="s">
        <v>70</v>
      </c>
      <c r="H743" s="10">
        <v>46119.583321759259</v>
      </c>
    </row>
    <row r="744" spans="1:8" x14ac:dyDescent="0.25">
      <c r="A744">
        <v>750</v>
      </c>
      <c r="B744" t="s">
        <v>62</v>
      </c>
      <c r="C744" t="s">
        <v>519</v>
      </c>
      <c r="D744">
        <v>20</v>
      </c>
      <c r="E744" t="s">
        <v>26</v>
      </c>
      <c r="F744" t="s">
        <v>29</v>
      </c>
      <c r="G744" t="s">
        <v>23</v>
      </c>
      <c r="H744" s="10">
        <v>46119.58384259259</v>
      </c>
    </row>
    <row r="745" spans="1:8" x14ac:dyDescent="0.25">
      <c r="A745">
        <v>751</v>
      </c>
      <c r="B745" t="s">
        <v>629</v>
      </c>
      <c r="C745" t="s">
        <v>761</v>
      </c>
      <c r="D745">
        <v>20</v>
      </c>
      <c r="E745" t="s">
        <v>19</v>
      </c>
      <c r="F745" t="s">
        <v>15</v>
      </c>
      <c r="G745" t="s">
        <v>12</v>
      </c>
      <c r="H745" s="10">
        <v>46119.584166666667</v>
      </c>
    </row>
    <row r="746" spans="1:8" x14ac:dyDescent="0.25">
      <c r="A746">
        <v>752</v>
      </c>
      <c r="B746" t="s">
        <v>762</v>
      </c>
      <c r="C746" t="s">
        <v>135</v>
      </c>
      <c r="D746">
        <v>38</v>
      </c>
      <c r="E746" t="s">
        <v>10</v>
      </c>
      <c r="F746" t="s">
        <v>15</v>
      </c>
      <c r="G746" t="s">
        <v>57</v>
      </c>
      <c r="H746" s="10">
        <v>46119.584861111114</v>
      </c>
    </row>
    <row r="747" spans="1:8" x14ac:dyDescent="0.25">
      <c r="A747">
        <v>753</v>
      </c>
      <c r="B747" t="s">
        <v>74</v>
      </c>
      <c r="C747" t="s">
        <v>82</v>
      </c>
      <c r="D747">
        <v>50</v>
      </c>
      <c r="E747" t="s">
        <v>26</v>
      </c>
      <c r="F747" t="s">
        <v>29</v>
      </c>
      <c r="G747" t="s">
        <v>12</v>
      </c>
      <c r="H747" s="10">
        <v>46119.585428240738</v>
      </c>
    </row>
    <row r="748" spans="1:8" x14ac:dyDescent="0.25">
      <c r="A748">
        <v>754</v>
      </c>
      <c r="B748" t="s">
        <v>93</v>
      </c>
      <c r="C748" t="s">
        <v>428</v>
      </c>
      <c r="D748">
        <v>33</v>
      </c>
      <c r="E748" t="s">
        <v>10</v>
      </c>
      <c r="F748" t="s">
        <v>29</v>
      </c>
      <c r="G748" t="s">
        <v>99</v>
      </c>
      <c r="H748" s="10">
        <v>46119.586041666669</v>
      </c>
    </row>
    <row r="749" spans="1:8" x14ac:dyDescent="0.25">
      <c r="A749">
        <v>755</v>
      </c>
      <c r="B749" t="s">
        <v>763</v>
      </c>
      <c r="C749" t="s">
        <v>264</v>
      </c>
      <c r="D749">
        <v>48</v>
      </c>
      <c r="E749" t="s">
        <v>19</v>
      </c>
      <c r="F749" t="s">
        <v>20</v>
      </c>
      <c r="G749" t="s">
        <v>30</v>
      </c>
      <c r="H749" s="10">
        <v>46119.5862037037</v>
      </c>
    </row>
    <row r="750" spans="1:8" x14ac:dyDescent="0.25">
      <c r="A750">
        <v>756</v>
      </c>
      <c r="B750" t="s">
        <v>593</v>
      </c>
      <c r="C750" t="s">
        <v>764</v>
      </c>
      <c r="D750">
        <v>55</v>
      </c>
      <c r="E750" t="s">
        <v>19</v>
      </c>
      <c r="F750" t="s">
        <v>73</v>
      </c>
      <c r="G750" t="s">
        <v>80</v>
      </c>
      <c r="H750" s="10">
        <v>46119.586574074077</v>
      </c>
    </row>
    <row r="751" spans="1:8" x14ac:dyDescent="0.25">
      <c r="A751">
        <v>757</v>
      </c>
      <c r="B751" t="s">
        <v>66</v>
      </c>
      <c r="C751" t="s">
        <v>132</v>
      </c>
      <c r="D751">
        <v>50</v>
      </c>
      <c r="E751" t="s">
        <v>10</v>
      </c>
      <c r="F751" t="s">
        <v>29</v>
      </c>
      <c r="G751" t="s">
        <v>16</v>
      </c>
      <c r="H751" s="10">
        <v>46119.586770833332</v>
      </c>
    </row>
    <row r="752" spans="1:8" x14ac:dyDescent="0.25">
      <c r="A752">
        <v>758</v>
      </c>
      <c r="B752" t="s">
        <v>206</v>
      </c>
      <c r="C752" t="s">
        <v>698</v>
      </c>
      <c r="D752">
        <v>55</v>
      </c>
      <c r="E752" t="s">
        <v>19</v>
      </c>
      <c r="F752" t="s">
        <v>15</v>
      </c>
      <c r="G752" t="s">
        <v>80</v>
      </c>
      <c r="H752" s="10">
        <v>46119.587071759262</v>
      </c>
    </row>
    <row r="753" spans="1:8" x14ac:dyDescent="0.25">
      <c r="A753">
        <v>759</v>
      </c>
      <c r="B753" t="s">
        <v>765</v>
      </c>
      <c r="C753" t="s">
        <v>294</v>
      </c>
      <c r="D753">
        <v>65</v>
      </c>
      <c r="E753" t="s">
        <v>19</v>
      </c>
      <c r="F753" t="s">
        <v>20</v>
      </c>
      <c r="G753" t="s">
        <v>65</v>
      </c>
      <c r="H753" s="10">
        <v>46119.587210648147</v>
      </c>
    </row>
    <row r="754" spans="1:8" x14ac:dyDescent="0.25">
      <c r="A754">
        <v>760</v>
      </c>
      <c r="B754" t="s">
        <v>325</v>
      </c>
      <c r="C754" t="s">
        <v>766</v>
      </c>
      <c r="D754">
        <v>41</v>
      </c>
      <c r="E754" t="s">
        <v>26</v>
      </c>
      <c r="F754" t="s">
        <v>73</v>
      </c>
      <c r="G754" t="s">
        <v>12</v>
      </c>
      <c r="H754" s="10">
        <v>46119.587627314817</v>
      </c>
    </row>
    <row r="755" spans="1:8" x14ac:dyDescent="0.25">
      <c r="A755">
        <v>761</v>
      </c>
      <c r="B755" t="s">
        <v>551</v>
      </c>
      <c r="C755" t="s">
        <v>263</v>
      </c>
      <c r="D755">
        <v>33</v>
      </c>
      <c r="E755" t="s">
        <v>26</v>
      </c>
      <c r="F755" t="s">
        <v>29</v>
      </c>
      <c r="G755" t="s">
        <v>16</v>
      </c>
      <c r="H755" s="10">
        <v>46119.58798611111</v>
      </c>
    </row>
    <row r="756" spans="1:8" x14ac:dyDescent="0.25">
      <c r="A756">
        <v>762</v>
      </c>
      <c r="B756" t="s">
        <v>767</v>
      </c>
      <c r="C756" t="s">
        <v>768</v>
      </c>
      <c r="D756">
        <v>38</v>
      </c>
      <c r="E756" t="s">
        <v>10</v>
      </c>
      <c r="F756" t="s">
        <v>29</v>
      </c>
      <c r="G756" t="s">
        <v>57</v>
      </c>
      <c r="H756" s="10">
        <v>46119.588379629633</v>
      </c>
    </row>
    <row r="757" spans="1:8" x14ac:dyDescent="0.25">
      <c r="A757">
        <v>763</v>
      </c>
      <c r="B757" t="s">
        <v>445</v>
      </c>
      <c r="C757" t="s">
        <v>113</v>
      </c>
      <c r="D757">
        <v>56</v>
      </c>
      <c r="E757" t="s">
        <v>19</v>
      </c>
      <c r="F757" t="s">
        <v>33</v>
      </c>
      <c r="G757" t="s">
        <v>23</v>
      </c>
      <c r="H757" s="10">
        <v>46119.589074074072</v>
      </c>
    </row>
    <row r="758" spans="1:8" x14ac:dyDescent="0.25">
      <c r="A758">
        <v>764</v>
      </c>
      <c r="B758" t="s">
        <v>443</v>
      </c>
      <c r="C758" t="s">
        <v>769</v>
      </c>
      <c r="D758">
        <v>38</v>
      </c>
      <c r="E758" t="s">
        <v>10</v>
      </c>
      <c r="F758" t="s">
        <v>73</v>
      </c>
      <c r="G758" t="s">
        <v>57</v>
      </c>
      <c r="H758" s="10">
        <v>46119.589618055557</v>
      </c>
    </row>
    <row r="759" spans="1:8" x14ac:dyDescent="0.25">
      <c r="A759">
        <v>765</v>
      </c>
      <c r="B759" t="s">
        <v>234</v>
      </c>
      <c r="C759" t="s">
        <v>595</v>
      </c>
      <c r="D759">
        <v>18</v>
      </c>
      <c r="E759" t="s">
        <v>26</v>
      </c>
      <c r="F759" t="s">
        <v>45</v>
      </c>
      <c r="G759" t="s">
        <v>80</v>
      </c>
      <c r="H759" s="10">
        <v>46119.590243055558</v>
      </c>
    </row>
    <row r="760" spans="1:8" x14ac:dyDescent="0.25">
      <c r="A760">
        <v>766</v>
      </c>
      <c r="B760" t="s">
        <v>78</v>
      </c>
      <c r="C760" t="s">
        <v>770</v>
      </c>
      <c r="D760">
        <v>33</v>
      </c>
      <c r="E760" t="s">
        <v>26</v>
      </c>
      <c r="F760" t="s">
        <v>33</v>
      </c>
      <c r="G760" t="s">
        <v>114</v>
      </c>
      <c r="H760" s="10">
        <v>46119.590844907405</v>
      </c>
    </row>
    <row r="761" spans="1:8" x14ac:dyDescent="0.25">
      <c r="A761">
        <v>767</v>
      </c>
      <c r="B761" t="s">
        <v>267</v>
      </c>
      <c r="C761" t="s">
        <v>82</v>
      </c>
      <c r="D761">
        <v>26</v>
      </c>
      <c r="E761" t="s">
        <v>19</v>
      </c>
      <c r="F761" t="s">
        <v>15</v>
      </c>
      <c r="G761" t="s">
        <v>51</v>
      </c>
      <c r="H761" s="10">
        <v>46119.591539351852</v>
      </c>
    </row>
    <row r="762" spans="1:8" x14ac:dyDescent="0.25">
      <c r="A762">
        <v>768</v>
      </c>
      <c r="B762" t="s">
        <v>315</v>
      </c>
      <c r="C762" t="s">
        <v>426</v>
      </c>
      <c r="D762">
        <v>34</v>
      </c>
      <c r="E762" t="s">
        <v>10</v>
      </c>
      <c r="F762" t="s">
        <v>29</v>
      </c>
      <c r="G762" t="s">
        <v>30</v>
      </c>
      <c r="H762" s="10">
        <v>46119.591747685183</v>
      </c>
    </row>
    <row r="763" spans="1:8" x14ac:dyDescent="0.25">
      <c r="A763">
        <v>769</v>
      </c>
      <c r="B763" t="s">
        <v>771</v>
      </c>
      <c r="C763" t="s">
        <v>716</v>
      </c>
      <c r="D763">
        <v>53</v>
      </c>
      <c r="E763" t="s">
        <v>19</v>
      </c>
      <c r="F763" t="s">
        <v>29</v>
      </c>
      <c r="G763" t="s">
        <v>51</v>
      </c>
      <c r="H763" s="10">
        <v>46119.592361111114</v>
      </c>
    </row>
    <row r="764" spans="1:8" x14ac:dyDescent="0.25">
      <c r="A764">
        <v>770</v>
      </c>
      <c r="B764" t="s">
        <v>90</v>
      </c>
      <c r="C764" t="s">
        <v>772</v>
      </c>
      <c r="D764">
        <v>38</v>
      </c>
      <c r="E764" t="s">
        <v>26</v>
      </c>
      <c r="F764" t="s">
        <v>20</v>
      </c>
      <c r="G764" t="s">
        <v>57</v>
      </c>
      <c r="H764" s="10">
        <v>46119.593032407407</v>
      </c>
    </row>
    <row r="765" spans="1:8" x14ac:dyDescent="0.25">
      <c r="A765">
        <v>771</v>
      </c>
      <c r="B765" t="s">
        <v>78</v>
      </c>
      <c r="C765" t="s">
        <v>132</v>
      </c>
      <c r="D765">
        <v>44</v>
      </c>
      <c r="E765" t="s">
        <v>10</v>
      </c>
      <c r="F765" t="s">
        <v>20</v>
      </c>
      <c r="G765" t="s">
        <v>130</v>
      </c>
      <c r="H765" s="10">
        <v>46119.593622685185</v>
      </c>
    </row>
    <row r="766" spans="1:8" x14ac:dyDescent="0.25">
      <c r="A766">
        <v>772</v>
      </c>
      <c r="B766" t="s">
        <v>151</v>
      </c>
      <c r="C766" t="s">
        <v>567</v>
      </c>
      <c r="D766">
        <v>54</v>
      </c>
      <c r="E766" t="s">
        <v>10</v>
      </c>
      <c r="F766" t="s">
        <v>73</v>
      </c>
      <c r="G766" t="s">
        <v>23</v>
      </c>
      <c r="H766" s="10">
        <v>46119.593981481485</v>
      </c>
    </row>
    <row r="767" spans="1:8" x14ac:dyDescent="0.25">
      <c r="A767">
        <v>773</v>
      </c>
      <c r="B767" t="s">
        <v>624</v>
      </c>
      <c r="C767" t="s">
        <v>773</v>
      </c>
      <c r="D767">
        <v>35</v>
      </c>
      <c r="E767" t="s">
        <v>19</v>
      </c>
      <c r="F767" t="s">
        <v>45</v>
      </c>
      <c r="G767" t="s">
        <v>70</v>
      </c>
      <c r="H767" s="10">
        <v>46119.594490740739</v>
      </c>
    </row>
    <row r="768" spans="1:8" x14ac:dyDescent="0.25">
      <c r="A768">
        <v>774</v>
      </c>
      <c r="B768" t="s">
        <v>131</v>
      </c>
      <c r="C768" t="s">
        <v>612</v>
      </c>
      <c r="D768">
        <v>52</v>
      </c>
      <c r="E768" t="s">
        <v>19</v>
      </c>
      <c r="F768" t="s">
        <v>20</v>
      </c>
      <c r="G768" t="s">
        <v>114</v>
      </c>
      <c r="H768" s="10">
        <v>46119.594988425924</v>
      </c>
    </row>
    <row r="769" spans="1:8" x14ac:dyDescent="0.25">
      <c r="A769">
        <v>775</v>
      </c>
      <c r="B769" t="s">
        <v>774</v>
      </c>
      <c r="C769" t="s">
        <v>255</v>
      </c>
      <c r="D769">
        <v>32</v>
      </c>
      <c r="E769" t="s">
        <v>10</v>
      </c>
      <c r="F769" t="s">
        <v>29</v>
      </c>
      <c r="G769" t="s">
        <v>46</v>
      </c>
      <c r="H769" s="10">
        <v>46119.595601851855</v>
      </c>
    </row>
    <row r="770" spans="1:8" x14ac:dyDescent="0.25">
      <c r="A770">
        <v>776</v>
      </c>
      <c r="B770" t="s">
        <v>220</v>
      </c>
      <c r="C770" t="s">
        <v>195</v>
      </c>
      <c r="D770">
        <v>34</v>
      </c>
      <c r="E770" t="s">
        <v>26</v>
      </c>
      <c r="F770" t="s">
        <v>15</v>
      </c>
      <c r="G770" t="s">
        <v>68</v>
      </c>
      <c r="H770" s="10">
        <v>46119.595729166664</v>
      </c>
    </row>
    <row r="771" spans="1:8" x14ac:dyDescent="0.25">
      <c r="A771">
        <v>777</v>
      </c>
      <c r="B771" t="s">
        <v>43</v>
      </c>
      <c r="C771" t="s">
        <v>413</v>
      </c>
      <c r="D771">
        <v>68</v>
      </c>
      <c r="E771" t="s">
        <v>26</v>
      </c>
      <c r="F771" t="s">
        <v>33</v>
      </c>
      <c r="G771" t="s">
        <v>57</v>
      </c>
      <c r="H771" s="10">
        <v>46119.59615740741</v>
      </c>
    </row>
    <row r="772" spans="1:8" x14ac:dyDescent="0.25">
      <c r="A772">
        <v>778</v>
      </c>
      <c r="B772" t="s">
        <v>134</v>
      </c>
      <c r="C772" t="s">
        <v>729</v>
      </c>
      <c r="D772">
        <v>59</v>
      </c>
      <c r="E772" t="s">
        <v>26</v>
      </c>
      <c r="F772" t="s">
        <v>15</v>
      </c>
      <c r="G772" t="s">
        <v>23</v>
      </c>
      <c r="H772" s="10">
        <v>46119.596747685187</v>
      </c>
    </row>
    <row r="773" spans="1:8" x14ac:dyDescent="0.25">
      <c r="A773">
        <v>779</v>
      </c>
      <c r="B773" t="s">
        <v>206</v>
      </c>
      <c r="C773" t="s">
        <v>775</v>
      </c>
      <c r="D773">
        <v>50</v>
      </c>
      <c r="E773" t="s">
        <v>19</v>
      </c>
      <c r="F773" t="s">
        <v>33</v>
      </c>
      <c r="G773" t="s">
        <v>70</v>
      </c>
      <c r="H773" s="10">
        <v>46119.597326388888</v>
      </c>
    </row>
    <row r="774" spans="1:8" x14ac:dyDescent="0.25">
      <c r="A774">
        <v>780</v>
      </c>
      <c r="B774" t="s">
        <v>420</v>
      </c>
      <c r="C774" t="s">
        <v>348</v>
      </c>
      <c r="D774">
        <v>18</v>
      </c>
      <c r="E774" t="s">
        <v>10</v>
      </c>
      <c r="F774" t="s">
        <v>20</v>
      </c>
      <c r="G774" t="s">
        <v>80</v>
      </c>
      <c r="H774" s="10">
        <v>46119.597916666666</v>
      </c>
    </row>
    <row r="775" spans="1:8" x14ac:dyDescent="0.25">
      <c r="A775">
        <v>781</v>
      </c>
      <c r="B775" t="s">
        <v>776</v>
      </c>
      <c r="C775" t="s">
        <v>82</v>
      </c>
      <c r="D775">
        <v>69</v>
      </c>
      <c r="E775" t="s">
        <v>26</v>
      </c>
      <c r="F775" t="s">
        <v>29</v>
      </c>
      <c r="G775" t="s">
        <v>39</v>
      </c>
      <c r="H775" s="10">
        <v>46119.598124999997</v>
      </c>
    </row>
    <row r="776" spans="1:8" x14ac:dyDescent="0.25">
      <c r="A776">
        <v>782</v>
      </c>
      <c r="B776" t="s">
        <v>375</v>
      </c>
      <c r="C776" t="s">
        <v>183</v>
      </c>
      <c r="D776">
        <v>47</v>
      </c>
      <c r="E776" t="s">
        <v>19</v>
      </c>
      <c r="F776" t="s">
        <v>73</v>
      </c>
      <c r="G776" t="s">
        <v>57</v>
      </c>
      <c r="H776" s="10">
        <v>46119.598622685182</v>
      </c>
    </row>
    <row r="777" spans="1:8" x14ac:dyDescent="0.25">
      <c r="A777">
        <v>783</v>
      </c>
      <c r="B777" t="s">
        <v>78</v>
      </c>
      <c r="C777" t="s">
        <v>253</v>
      </c>
      <c r="D777">
        <v>39</v>
      </c>
      <c r="E777" t="s">
        <v>19</v>
      </c>
      <c r="F777" t="s">
        <v>15</v>
      </c>
      <c r="G777" t="s">
        <v>46</v>
      </c>
      <c r="H777" s="10">
        <v>46119.598738425928</v>
      </c>
    </row>
    <row r="778" spans="1:8" x14ac:dyDescent="0.25">
      <c r="A778">
        <v>784</v>
      </c>
      <c r="B778" t="s">
        <v>777</v>
      </c>
      <c r="C778" t="s">
        <v>470</v>
      </c>
      <c r="D778">
        <v>56</v>
      </c>
      <c r="E778" t="s">
        <v>10</v>
      </c>
      <c r="F778" t="s">
        <v>29</v>
      </c>
      <c r="G778" t="s">
        <v>54</v>
      </c>
      <c r="H778" s="10">
        <v>46119.599166666667</v>
      </c>
    </row>
    <row r="779" spans="1:8" x14ac:dyDescent="0.25">
      <c r="A779">
        <v>785</v>
      </c>
      <c r="B779" t="s">
        <v>778</v>
      </c>
      <c r="C779" t="s">
        <v>319</v>
      </c>
      <c r="D779">
        <v>23</v>
      </c>
      <c r="E779" t="s">
        <v>26</v>
      </c>
      <c r="F779" t="s">
        <v>15</v>
      </c>
      <c r="G779" t="s">
        <v>12</v>
      </c>
      <c r="H779" s="10">
        <v>46119.599398148152</v>
      </c>
    </row>
    <row r="780" spans="1:8" x14ac:dyDescent="0.25">
      <c r="A780">
        <v>786</v>
      </c>
      <c r="B780" t="s">
        <v>779</v>
      </c>
      <c r="C780" t="s">
        <v>780</v>
      </c>
      <c r="D780">
        <v>46</v>
      </c>
      <c r="E780" t="s">
        <v>26</v>
      </c>
      <c r="F780" t="s">
        <v>11</v>
      </c>
      <c r="G780" t="s">
        <v>46</v>
      </c>
      <c r="H780" s="10">
        <v>46119.599895833337</v>
      </c>
    </row>
    <row r="781" spans="1:8" x14ac:dyDescent="0.25">
      <c r="A781">
        <v>787</v>
      </c>
      <c r="B781" t="s">
        <v>341</v>
      </c>
      <c r="C781" t="s">
        <v>653</v>
      </c>
      <c r="D781">
        <v>58</v>
      </c>
      <c r="E781" t="s">
        <v>10</v>
      </c>
      <c r="F781" t="s">
        <v>20</v>
      </c>
      <c r="G781" t="s">
        <v>57</v>
      </c>
      <c r="H781" s="10">
        <v>46119.600462962961</v>
      </c>
    </row>
    <row r="782" spans="1:8" x14ac:dyDescent="0.25">
      <c r="A782">
        <v>788</v>
      </c>
      <c r="B782" t="s">
        <v>481</v>
      </c>
      <c r="C782" t="s">
        <v>135</v>
      </c>
      <c r="D782">
        <v>55</v>
      </c>
      <c r="E782" t="s">
        <v>10</v>
      </c>
      <c r="F782" t="s">
        <v>73</v>
      </c>
      <c r="G782" t="s">
        <v>130</v>
      </c>
      <c r="H782" s="10">
        <v>46119.600682870368</v>
      </c>
    </row>
    <row r="783" spans="1:8" x14ac:dyDescent="0.25">
      <c r="A783">
        <v>789</v>
      </c>
      <c r="B783" t="s">
        <v>781</v>
      </c>
      <c r="C783" t="s">
        <v>611</v>
      </c>
      <c r="D783">
        <v>62</v>
      </c>
      <c r="E783" t="s">
        <v>10</v>
      </c>
      <c r="F783" t="s">
        <v>11</v>
      </c>
      <c r="G783" t="s">
        <v>39</v>
      </c>
      <c r="H783" s="10">
        <v>46119.600798611114</v>
      </c>
    </row>
    <row r="784" spans="1:8" x14ac:dyDescent="0.25">
      <c r="A784">
        <v>790</v>
      </c>
      <c r="B784" t="s">
        <v>458</v>
      </c>
      <c r="C784" t="s">
        <v>327</v>
      </c>
      <c r="D784">
        <v>18</v>
      </c>
      <c r="E784" t="s">
        <v>19</v>
      </c>
      <c r="F784" t="s">
        <v>11</v>
      </c>
      <c r="G784" t="s">
        <v>12</v>
      </c>
      <c r="H784" s="10">
        <v>46119.601018518515</v>
      </c>
    </row>
    <row r="785" spans="1:8" x14ac:dyDescent="0.25">
      <c r="A785">
        <v>791</v>
      </c>
      <c r="B785" t="s">
        <v>782</v>
      </c>
      <c r="C785" t="s">
        <v>485</v>
      </c>
      <c r="D785">
        <v>68</v>
      </c>
      <c r="E785" t="s">
        <v>19</v>
      </c>
      <c r="F785" t="s">
        <v>11</v>
      </c>
      <c r="G785" t="s">
        <v>39</v>
      </c>
      <c r="H785" s="10">
        <v>46119.60125</v>
      </c>
    </row>
    <row r="786" spans="1:8" x14ac:dyDescent="0.25">
      <c r="A786">
        <v>792</v>
      </c>
      <c r="B786" t="s">
        <v>112</v>
      </c>
      <c r="C786" t="s">
        <v>583</v>
      </c>
      <c r="D786">
        <v>24</v>
      </c>
      <c r="E786" t="s">
        <v>26</v>
      </c>
      <c r="F786" t="s">
        <v>15</v>
      </c>
      <c r="G786" t="s">
        <v>57</v>
      </c>
      <c r="H786" s="10">
        <v>46119.601585648146</v>
      </c>
    </row>
    <row r="787" spans="1:8" x14ac:dyDescent="0.25">
      <c r="A787">
        <v>793</v>
      </c>
      <c r="B787" t="s">
        <v>206</v>
      </c>
      <c r="C787" t="s">
        <v>75</v>
      </c>
      <c r="D787">
        <v>28</v>
      </c>
      <c r="E787" t="s">
        <v>10</v>
      </c>
      <c r="F787" t="s">
        <v>20</v>
      </c>
      <c r="G787" t="s">
        <v>51</v>
      </c>
      <c r="H787" s="10">
        <v>46119.602094907408</v>
      </c>
    </row>
    <row r="788" spans="1:8" x14ac:dyDescent="0.25">
      <c r="A788">
        <v>794</v>
      </c>
      <c r="B788" t="s">
        <v>735</v>
      </c>
      <c r="C788" t="s">
        <v>572</v>
      </c>
      <c r="D788">
        <v>45</v>
      </c>
      <c r="E788" t="s">
        <v>10</v>
      </c>
      <c r="F788" t="s">
        <v>20</v>
      </c>
      <c r="G788" t="s">
        <v>76</v>
      </c>
      <c r="H788" s="10">
        <v>46119.602592592593</v>
      </c>
    </row>
    <row r="789" spans="1:8" x14ac:dyDescent="0.25">
      <c r="A789">
        <v>795</v>
      </c>
      <c r="B789" t="s">
        <v>783</v>
      </c>
      <c r="C789" t="s">
        <v>98</v>
      </c>
      <c r="D789">
        <v>18</v>
      </c>
      <c r="E789" t="s">
        <v>26</v>
      </c>
      <c r="F789" t="s">
        <v>20</v>
      </c>
      <c r="G789" t="s">
        <v>70</v>
      </c>
      <c r="H789" s="10">
        <v>46119.602962962963</v>
      </c>
    </row>
    <row r="790" spans="1:8" x14ac:dyDescent="0.25">
      <c r="A790">
        <v>796</v>
      </c>
      <c r="B790" t="s">
        <v>220</v>
      </c>
      <c r="C790" t="s">
        <v>135</v>
      </c>
      <c r="D790">
        <v>64</v>
      </c>
      <c r="E790" t="s">
        <v>26</v>
      </c>
      <c r="F790" t="s">
        <v>15</v>
      </c>
      <c r="G790" t="s">
        <v>114</v>
      </c>
      <c r="H790" s="10">
        <v>46119.603275462963</v>
      </c>
    </row>
    <row r="791" spans="1:8" x14ac:dyDescent="0.25">
      <c r="A791">
        <v>797</v>
      </c>
      <c r="B791" t="s">
        <v>680</v>
      </c>
      <c r="C791" t="s">
        <v>526</v>
      </c>
      <c r="D791">
        <v>27</v>
      </c>
      <c r="E791" t="s">
        <v>10</v>
      </c>
      <c r="F791" t="s">
        <v>11</v>
      </c>
      <c r="G791" t="s">
        <v>39</v>
      </c>
      <c r="H791" s="10">
        <v>46119.603391203702</v>
      </c>
    </row>
    <row r="792" spans="1:8" x14ac:dyDescent="0.25">
      <c r="A792">
        <v>798</v>
      </c>
      <c r="B792" t="s">
        <v>784</v>
      </c>
      <c r="C792" t="s">
        <v>273</v>
      </c>
      <c r="D792">
        <v>67</v>
      </c>
      <c r="E792" t="s">
        <v>26</v>
      </c>
      <c r="F792" t="s">
        <v>20</v>
      </c>
      <c r="G792" t="s">
        <v>16</v>
      </c>
      <c r="H792" s="10">
        <v>46119.604050925926</v>
      </c>
    </row>
    <row r="793" spans="1:8" x14ac:dyDescent="0.25">
      <c r="A793">
        <v>799</v>
      </c>
      <c r="B793" t="s">
        <v>629</v>
      </c>
      <c r="C793" t="s">
        <v>452</v>
      </c>
      <c r="D793">
        <v>28</v>
      </c>
      <c r="E793" t="s">
        <v>26</v>
      </c>
      <c r="F793" t="s">
        <v>73</v>
      </c>
      <c r="G793" t="s">
        <v>99</v>
      </c>
      <c r="H793" s="10">
        <v>46119.604479166665</v>
      </c>
    </row>
    <row r="794" spans="1:8" x14ac:dyDescent="0.25">
      <c r="A794">
        <v>800</v>
      </c>
      <c r="B794" t="s">
        <v>21</v>
      </c>
      <c r="C794" t="s">
        <v>306</v>
      </c>
      <c r="D794">
        <v>64</v>
      </c>
      <c r="E794" t="s">
        <v>19</v>
      </c>
      <c r="F794" t="s">
        <v>73</v>
      </c>
      <c r="G794" t="s">
        <v>133</v>
      </c>
      <c r="H794" s="10">
        <v>46119.604722222219</v>
      </c>
    </row>
    <row r="795" spans="1:8" x14ac:dyDescent="0.25">
      <c r="A795">
        <v>801</v>
      </c>
      <c r="B795" t="s">
        <v>175</v>
      </c>
      <c r="C795" t="s">
        <v>785</v>
      </c>
      <c r="D795">
        <v>57</v>
      </c>
      <c r="E795" t="s">
        <v>10</v>
      </c>
      <c r="F795" t="s">
        <v>20</v>
      </c>
      <c r="G795" t="s">
        <v>36</v>
      </c>
      <c r="H795" s="10">
        <v>46119.60497685185</v>
      </c>
    </row>
    <row r="796" spans="1:8" x14ac:dyDescent="0.25">
      <c r="A796">
        <v>802</v>
      </c>
      <c r="B796" t="s">
        <v>134</v>
      </c>
      <c r="C796" t="s">
        <v>786</v>
      </c>
      <c r="D796">
        <v>37</v>
      </c>
      <c r="E796" t="s">
        <v>26</v>
      </c>
      <c r="F796" t="s">
        <v>73</v>
      </c>
      <c r="G796" t="s">
        <v>70</v>
      </c>
      <c r="H796" s="10">
        <v>46119.605416666665</v>
      </c>
    </row>
    <row r="797" spans="1:8" x14ac:dyDescent="0.25">
      <c r="A797">
        <v>803</v>
      </c>
      <c r="B797" t="s">
        <v>415</v>
      </c>
      <c r="C797" t="s">
        <v>177</v>
      </c>
      <c r="D797">
        <v>18</v>
      </c>
      <c r="E797" t="s">
        <v>19</v>
      </c>
      <c r="F797" t="s">
        <v>20</v>
      </c>
      <c r="G797" t="s">
        <v>16</v>
      </c>
      <c r="H797" s="10">
        <v>46119.605624999997</v>
      </c>
    </row>
    <row r="798" spans="1:8" x14ac:dyDescent="0.25">
      <c r="A798">
        <v>804</v>
      </c>
      <c r="B798" t="s">
        <v>438</v>
      </c>
      <c r="C798" t="s">
        <v>662</v>
      </c>
      <c r="D798">
        <v>38</v>
      </c>
      <c r="E798" t="s">
        <v>10</v>
      </c>
      <c r="F798" t="s">
        <v>45</v>
      </c>
      <c r="G798" t="s">
        <v>42</v>
      </c>
      <c r="H798" s="10">
        <v>46119.605856481481</v>
      </c>
    </row>
    <row r="799" spans="1:8" x14ac:dyDescent="0.25">
      <c r="A799">
        <v>805</v>
      </c>
      <c r="B799" t="s">
        <v>787</v>
      </c>
      <c r="C799" t="s">
        <v>619</v>
      </c>
      <c r="D799">
        <v>33</v>
      </c>
      <c r="E799" t="s">
        <v>10</v>
      </c>
      <c r="F799" t="s">
        <v>73</v>
      </c>
      <c r="G799" t="s">
        <v>133</v>
      </c>
      <c r="H799" s="10">
        <v>46119.606458333335</v>
      </c>
    </row>
    <row r="800" spans="1:8" x14ac:dyDescent="0.25">
      <c r="A800">
        <v>806</v>
      </c>
      <c r="B800" t="s">
        <v>270</v>
      </c>
      <c r="C800" t="s">
        <v>421</v>
      </c>
      <c r="D800">
        <v>41</v>
      </c>
      <c r="E800" t="s">
        <v>19</v>
      </c>
      <c r="F800" t="s">
        <v>73</v>
      </c>
      <c r="G800" t="s">
        <v>51</v>
      </c>
      <c r="H800" s="10">
        <v>46119.606585648151</v>
      </c>
    </row>
    <row r="801" spans="1:8" x14ac:dyDescent="0.25">
      <c r="A801">
        <v>807</v>
      </c>
      <c r="B801" t="s">
        <v>104</v>
      </c>
      <c r="C801" t="s">
        <v>788</v>
      </c>
      <c r="D801">
        <v>34</v>
      </c>
      <c r="E801" t="s">
        <v>10</v>
      </c>
      <c r="F801" t="s">
        <v>11</v>
      </c>
      <c r="G801" t="s">
        <v>70</v>
      </c>
      <c r="H801" s="10">
        <v>46119.60701388889</v>
      </c>
    </row>
    <row r="802" spans="1:8" x14ac:dyDescent="0.25">
      <c r="A802">
        <v>808</v>
      </c>
      <c r="B802" t="s">
        <v>119</v>
      </c>
      <c r="C802" t="s">
        <v>135</v>
      </c>
      <c r="D802">
        <v>32</v>
      </c>
      <c r="E802" t="s">
        <v>19</v>
      </c>
      <c r="F802" t="s">
        <v>20</v>
      </c>
      <c r="G802" t="s">
        <v>54</v>
      </c>
      <c r="H802" s="10">
        <v>46121.541365740741</v>
      </c>
    </row>
    <row r="803" spans="1:8" x14ac:dyDescent="0.25">
      <c r="A803">
        <v>809</v>
      </c>
      <c r="B803" t="s">
        <v>422</v>
      </c>
      <c r="C803" t="s">
        <v>790</v>
      </c>
      <c r="D803">
        <v>28</v>
      </c>
      <c r="E803" t="s">
        <v>26</v>
      </c>
      <c r="F803" t="s">
        <v>73</v>
      </c>
      <c r="G803" t="s">
        <v>12</v>
      </c>
      <c r="H803" s="10">
        <v>46121.541689814818</v>
      </c>
    </row>
    <row r="804" spans="1:8" x14ac:dyDescent="0.25">
      <c r="A804">
        <v>810</v>
      </c>
      <c r="B804" t="s">
        <v>504</v>
      </c>
      <c r="C804" t="s">
        <v>602</v>
      </c>
      <c r="D804">
        <v>40</v>
      </c>
      <c r="E804" t="s">
        <v>19</v>
      </c>
      <c r="F804" t="s">
        <v>33</v>
      </c>
      <c r="G804" t="s">
        <v>23</v>
      </c>
      <c r="H804" s="10">
        <v>46121.542256944442</v>
      </c>
    </row>
    <row r="805" spans="1:8" x14ac:dyDescent="0.25">
      <c r="A805">
        <v>811</v>
      </c>
      <c r="B805" t="s">
        <v>250</v>
      </c>
      <c r="C805" t="s">
        <v>791</v>
      </c>
      <c r="D805">
        <v>53</v>
      </c>
      <c r="E805" t="s">
        <v>19</v>
      </c>
      <c r="F805" t="s">
        <v>15</v>
      </c>
      <c r="G805" t="s">
        <v>80</v>
      </c>
      <c r="H805" s="10">
        <v>46121.542627314811</v>
      </c>
    </row>
    <row r="806" spans="1:8" x14ac:dyDescent="0.25">
      <c r="A806">
        <v>812</v>
      </c>
      <c r="B806" t="s">
        <v>792</v>
      </c>
      <c r="C806" t="s">
        <v>129</v>
      </c>
      <c r="D806">
        <v>32</v>
      </c>
      <c r="E806" t="s">
        <v>19</v>
      </c>
      <c r="F806" t="s">
        <v>15</v>
      </c>
      <c r="G806" t="s">
        <v>16</v>
      </c>
      <c r="H806" s="10">
        <v>46121.542962962965</v>
      </c>
    </row>
    <row r="807" spans="1:8" x14ac:dyDescent="0.25">
      <c r="A807">
        <v>813</v>
      </c>
      <c r="B807" t="s">
        <v>270</v>
      </c>
      <c r="C807" t="s">
        <v>257</v>
      </c>
      <c r="D807">
        <v>49</v>
      </c>
      <c r="E807" t="s">
        <v>19</v>
      </c>
      <c r="F807" t="s">
        <v>15</v>
      </c>
      <c r="G807" t="s">
        <v>54</v>
      </c>
      <c r="H807" s="10">
        <v>46121.543668981481</v>
      </c>
    </row>
    <row r="808" spans="1:8" x14ac:dyDescent="0.25">
      <c r="A808">
        <v>814</v>
      </c>
      <c r="B808" t="s">
        <v>793</v>
      </c>
      <c r="C808" t="s">
        <v>720</v>
      </c>
      <c r="D808">
        <v>30</v>
      </c>
      <c r="E808" t="s">
        <v>19</v>
      </c>
      <c r="F808" t="s">
        <v>73</v>
      </c>
      <c r="G808" t="s">
        <v>70</v>
      </c>
      <c r="H808" s="10">
        <v>46121.543981481482</v>
      </c>
    </row>
    <row r="809" spans="1:8" x14ac:dyDescent="0.25">
      <c r="A809">
        <v>815</v>
      </c>
      <c r="B809" t="s">
        <v>75</v>
      </c>
      <c r="C809" t="s">
        <v>794</v>
      </c>
      <c r="D809">
        <v>33</v>
      </c>
      <c r="E809" t="s">
        <v>19</v>
      </c>
      <c r="F809" t="s">
        <v>73</v>
      </c>
      <c r="G809" t="s">
        <v>36</v>
      </c>
      <c r="H809" s="10">
        <v>46121.544340277775</v>
      </c>
    </row>
    <row r="810" spans="1:8" x14ac:dyDescent="0.25">
      <c r="A810">
        <v>816</v>
      </c>
      <c r="B810" t="s">
        <v>78</v>
      </c>
      <c r="C810" t="s">
        <v>128</v>
      </c>
      <c r="D810">
        <v>18</v>
      </c>
      <c r="E810" t="s">
        <v>10</v>
      </c>
      <c r="F810" t="s">
        <v>73</v>
      </c>
      <c r="G810" t="s">
        <v>80</v>
      </c>
      <c r="H810" s="10">
        <v>46121.544594907406</v>
      </c>
    </row>
    <row r="811" spans="1:8" x14ac:dyDescent="0.25">
      <c r="A811">
        <v>817</v>
      </c>
      <c r="B811" t="s">
        <v>160</v>
      </c>
      <c r="C811" t="s">
        <v>795</v>
      </c>
      <c r="D811">
        <v>39</v>
      </c>
      <c r="E811" t="s">
        <v>26</v>
      </c>
      <c r="F811" t="s">
        <v>73</v>
      </c>
      <c r="G811" t="s">
        <v>133</v>
      </c>
      <c r="H811" s="10">
        <v>46121.545069444444</v>
      </c>
    </row>
    <row r="812" spans="1:8" x14ac:dyDescent="0.25">
      <c r="A812">
        <v>818</v>
      </c>
      <c r="B812" t="s">
        <v>8</v>
      </c>
      <c r="C812" t="s">
        <v>796</v>
      </c>
      <c r="D812">
        <v>62</v>
      </c>
      <c r="E812" t="s">
        <v>19</v>
      </c>
      <c r="F812" t="s">
        <v>33</v>
      </c>
      <c r="G812" t="s">
        <v>57</v>
      </c>
      <c r="H812" s="10">
        <v>46121.545532407406</v>
      </c>
    </row>
    <row r="813" spans="1:8" x14ac:dyDescent="0.25">
      <c r="A813">
        <v>819</v>
      </c>
      <c r="B813" t="s">
        <v>104</v>
      </c>
      <c r="C813" t="s">
        <v>62</v>
      </c>
      <c r="D813">
        <v>55</v>
      </c>
      <c r="E813" t="s">
        <v>26</v>
      </c>
      <c r="F813" t="s">
        <v>73</v>
      </c>
      <c r="G813" t="s">
        <v>54</v>
      </c>
      <c r="H813" s="10">
        <v>46121.546041666668</v>
      </c>
    </row>
    <row r="814" spans="1:8" x14ac:dyDescent="0.25">
      <c r="A814">
        <v>820</v>
      </c>
      <c r="B814" t="s">
        <v>268</v>
      </c>
      <c r="C814" t="s">
        <v>368</v>
      </c>
      <c r="D814">
        <v>57</v>
      </c>
      <c r="E814" t="s">
        <v>10</v>
      </c>
      <c r="F814" t="s">
        <v>33</v>
      </c>
      <c r="G814" t="s">
        <v>70</v>
      </c>
      <c r="H814" s="10">
        <v>46121.546724537038</v>
      </c>
    </row>
    <row r="815" spans="1:8" x14ac:dyDescent="0.25">
      <c r="A815">
        <v>821</v>
      </c>
      <c r="B815" t="s">
        <v>797</v>
      </c>
      <c r="C815" t="s">
        <v>244</v>
      </c>
      <c r="D815">
        <v>63</v>
      </c>
      <c r="E815" t="s">
        <v>10</v>
      </c>
      <c r="F815" t="s">
        <v>15</v>
      </c>
      <c r="G815" t="s">
        <v>68</v>
      </c>
      <c r="H815" s="10">
        <v>46121.547071759262</v>
      </c>
    </row>
    <row r="816" spans="1:8" x14ac:dyDescent="0.25">
      <c r="A816">
        <v>822</v>
      </c>
      <c r="B816" t="s">
        <v>798</v>
      </c>
      <c r="C816" t="s">
        <v>244</v>
      </c>
      <c r="D816">
        <v>33</v>
      </c>
      <c r="E816" t="s">
        <v>10</v>
      </c>
      <c r="F816" t="s">
        <v>29</v>
      </c>
      <c r="G816" t="s">
        <v>12</v>
      </c>
      <c r="H816" s="10">
        <v>46121.547581018516</v>
      </c>
    </row>
    <row r="817" spans="1:8" x14ac:dyDescent="0.25">
      <c r="A817">
        <v>823</v>
      </c>
      <c r="B817" t="s">
        <v>78</v>
      </c>
      <c r="C817" t="s">
        <v>799</v>
      </c>
      <c r="D817">
        <v>65</v>
      </c>
      <c r="E817" t="s">
        <v>26</v>
      </c>
      <c r="F817" t="s">
        <v>73</v>
      </c>
      <c r="G817" t="s">
        <v>30</v>
      </c>
      <c r="H817" s="10">
        <v>46121.547835648147</v>
      </c>
    </row>
    <row r="818" spans="1:8" x14ac:dyDescent="0.25">
      <c r="A818">
        <v>824</v>
      </c>
      <c r="B818" t="s">
        <v>641</v>
      </c>
      <c r="C818" t="s">
        <v>452</v>
      </c>
      <c r="D818">
        <v>41</v>
      </c>
      <c r="E818" t="s">
        <v>10</v>
      </c>
      <c r="F818" t="s">
        <v>15</v>
      </c>
      <c r="G818" t="s">
        <v>130</v>
      </c>
      <c r="H818" s="10">
        <v>46121.548437500001</v>
      </c>
    </row>
    <row r="819" spans="1:8" x14ac:dyDescent="0.25">
      <c r="A819">
        <v>825</v>
      </c>
      <c r="B819" t="s">
        <v>800</v>
      </c>
      <c r="C819" t="s">
        <v>496</v>
      </c>
      <c r="D819">
        <v>21</v>
      </c>
      <c r="E819" t="s">
        <v>10</v>
      </c>
      <c r="F819" t="s">
        <v>45</v>
      </c>
      <c r="G819" t="s">
        <v>42</v>
      </c>
      <c r="H819" s="10">
        <v>46121.548587962963</v>
      </c>
    </row>
    <row r="820" spans="1:8" x14ac:dyDescent="0.25">
      <c r="A820">
        <v>826</v>
      </c>
      <c r="B820" t="s">
        <v>672</v>
      </c>
      <c r="C820" t="s">
        <v>616</v>
      </c>
      <c r="D820">
        <v>42</v>
      </c>
      <c r="E820" t="s">
        <v>10</v>
      </c>
      <c r="F820" t="s">
        <v>29</v>
      </c>
      <c r="G820" t="s">
        <v>68</v>
      </c>
      <c r="H820" s="10">
        <v>46121.548807870371</v>
      </c>
    </row>
    <row r="821" spans="1:8" x14ac:dyDescent="0.25">
      <c r="A821">
        <v>827</v>
      </c>
      <c r="B821" t="s">
        <v>801</v>
      </c>
      <c r="C821" t="s">
        <v>430</v>
      </c>
      <c r="D821">
        <v>40</v>
      </c>
      <c r="E821" t="s">
        <v>19</v>
      </c>
      <c r="F821" t="s">
        <v>15</v>
      </c>
      <c r="G821" t="s">
        <v>51</v>
      </c>
      <c r="H821" s="10">
        <v>46121.549456018518</v>
      </c>
    </row>
    <row r="822" spans="1:8" x14ac:dyDescent="0.25">
      <c r="A822">
        <v>828</v>
      </c>
      <c r="B822" t="s">
        <v>106</v>
      </c>
      <c r="C822" t="s">
        <v>802</v>
      </c>
      <c r="D822">
        <v>40</v>
      </c>
      <c r="E822" t="s">
        <v>10</v>
      </c>
      <c r="F822" t="s">
        <v>45</v>
      </c>
      <c r="G822" t="s">
        <v>16</v>
      </c>
      <c r="H822" s="10">
        <v>46121.549861111111</v>
      </c>
    </row>
    <row r="823" spans="1:8" x14ac:dyDescent="0.25">
      <c r="A823">
        <v>829</v>
      </c>
      <c r="B823" t="s">
        <v>138</v>
      </c>
      <c r="C823" t="s">
        <v>327</v>
      </c>
      <c r="D823">
        <v>26</v>
      </c>
      <c r="E823" t="s">
        <v>26</v>
      </c>
      <c r="F823" t="s">
        <v>33</v>
      </c>
      <c r="G823" t="s">
        <v>16</v>
      </c>
      <c r="H823" s="10">
        <v>46121.565428240741</v>
      </c>
    </row>
    <row r="824" spans="1:8" x14ac:dyDescent="0.25">
      <c r="A824">
        <v>830</v>
      </c>
      <c r="B824" t="s">
        <v>104</v>
      </c>
      <c r="C824" t="s">
        <v>517</v>
      </c>
      <c r="D824">
        <v>34</v>
      </c>
      <c r="E824" t="s">
        <v>10</v>
      </c>
      <c r="F824" t="s">
        <v>15</v>
      </c>
      <c r="G824" t="s">
        <v>54</v>
      </c>
      <c r="H824" s="10">
        <v>46121.565648148149</v>
      </c>
    </row>
    <row r="825" spans="1:8" x14ac:dyDescent="0.25">
      <c r="A825">
        <v>831</v>
      </c>
      <c r="B825" t="s">
        <v>353</v>
      </c>
      <c r="C825" t="s">
        <v>94</v>
      </c>
      <c r="D825">
        <v>33</v>
      </c>
      <c r="E825" t="s">
        <v>19</v>
      </c>
      <c r="F825" t="s">
        <v>73</v>
      </c>
      <c r="G825" t="s">
        <v>23</v>
      </c>
      <c r="H825" s="10">
        <v>46121.566145833334</v>
      </c>
    </row>
    <row r="826" spans="1:8" x14ac:dyDescent="0.25">
      <c r="A826">
        <v>832</v>
      </c>
      <c r="B826" t="s">
        <v>252</v>
      </c>
      <c r="C826" t="s">
        <v>447</v>
      </c>
      <c r="D826">
        <v>60</v>
      </c>
      <c r="E826" t="s">
        <v>19</v>
      </c>
      <c r="F826" t="s">
        <v>45</v>
      </c>
      <c r="G826" t="s">
        <v>114</v>
      </c>
      <c r="H826" s="10">
        <v>46121.566701388889</v>
      </c>
    </row>
    <row r="827" spans="1:8" x14ac:dyDescent="0.25">
      <c r="A827">
        <v>833</v>
      </c>
      <c r="B827" t="s">
        <v>803</v>
      </c>
      <c r="C827" t="s">
        <v>804</v>
      </c>
      <c r="D827">
        <v>58</v>
      </c>
      <c r="E827" t="s">
        <v>26</v>
      </c>
      <c r="F827" t="s">
        <v>11</v>
      </c>
      <c r="G827" t="s">
        <v>70</v>
      </c>
      <c r="H827" s="10">
        <v>46121.566851851851</v>
      </c>
    </row>
    <row r="828" spans="1:8" x14ac:dyDescent="0.25">
      <c r="A828">
        <v>834</v>
      </c>
      <c r="B828" t="s">
        <v>142</v>
      </c>
      <c r="C828" t="s">
        <v>273</v>
      </c>
      <c r="D828">
        <v>69</v>
      </c>
      <c r="E828" t="s">
        <v>10</v>
      </c>
      <c r="F828" t="s">
        <v>33</v>
      </c>
      <c r="G828" t="s">
        <v>51</v>
      </c>
      <c r="H828" s="10">
        <v>46121.567025462966</v>
      </c>
    </row>
    <row r="829" spans="1:8" x14ac:dyDescent="0.25">
      <c r="A829">
        <v>835</v>
      </c>
      <c r="B829" t="s">
        <v>318</v>
      </c>
      <c r="C829" t="s">
        <v>805</v>
      </c>
      <c r="D829">
        <v>36</v>
      </c>
      <c r="E829" t="s">
        <v>26</v>
      </c>
      <c r="F829" t="s">
        <v>29</v>
      </c>
      <c r="G829" t="s">
        <v>12</v>
      </c>
      <c r="H829" s="10">
        <v>46121.567372685182</v>
      </c>
    </row>
    <row r="830" spans="1:8" x14ac:dyDescent="0.25">
      <c r="A830">
        <v>836</v>
      </c>
      <c r="B830" t="s">
        <v>657</v>
      </c>
      <c r="C830" t="s">
        <v>348</v>
      </c>
      <c r="D830">
        <v>53</v>
      </c>
      <c r="E830" t="s">
        <v>10</v>
      </c>
      <c r="F830" t="s">
        <v>20</v>
      </c>
      <c r="G830" t="s">
        <v>12</v>
      </c>
      <c r="H830" s="10">
        <v>46121.567789351851</v>
      </c>
    </row>
    <row r="831" spans="1:8" x14ac:dyDescent="0.25">
      <c r="A831">
        <v>837</v>
      </c>
      <c r="B831" t="s">
        <v>100</v>
      </c>
      <c r="C831" t="s">
        <v>806</v>
      </c>
      <c r="D831">
        <v>53</v>
      </c>
      <c r="E831" t="s">
        <v>19</v>
      </c>
      <c r="F831" t="s">
        <v>15</v>
      </c>
      <c r="G831" t="s">
        <v>65</v>
      </c>
      <c r="H831" s="10">
        <v>46121.568333333336</v>
      </c>
    </row>
    <row r="832" spans="1:8" x14ac:dyDescent="0.25">
      <c r="A832">
        <v>838</v>
      </c>
      <c r="B832" t="s">
        <v>222</v>
      </c>
      <c r="C832" t="s">
        <v>139</v>
      </c>
      <c r="D832">
        <v>36</v>
      </c>
      <c r="E832" t="s">
        <v>10</v>
      </c>
      <c r="F832" t="s">
        <v>20</v>
      </c>
      <c r="G832" t="s">
        <v>46</v>
      </c>
      <c r="H832" s="10">
        <v>46121.56890046296</v>
      </c>
    </row>
    <row r="833" spans="1:8" x14ac:dyDescent="0.25">
      <c r="A833">
        <v>839</v>
      </c>
      <c r="B833" t="s">
        <v>62</v>
      </c>
      <c r="C833" t="s">
        <v>807</v>
      </c>
      <c r="D833">
        <v>57</v>
      </c>
      <c r="E833" t="s">
        <v>10</v>
      </c>
      <c r="F833" t="s">
        <v>15</v>
      </c>
      <c r="G833" t="s">
        <v>114</v>
      </c>
      <c r="H833" s="10">
        <v>46121.569282407407</v>
      </c>
    </row>
    <row r="834" spans="1:8" x14ac:dyDescent="0.25">
      <c r="A834">
        <v>840</v>
      </c>
      <c r="B834" t="s">
        <v>92</v>
      </c>
      <c r="C834" t="s">
        <v>237</v>
      </c>
      <c r="D834">
        <v>19</v>
      </c>
      <c r="E834" t="s">
        <v>19</v>
      </c>
      <c r="F834" t="s">
        <v>15</v>
      </c>
      <c r="G834" t="s">
        <v>99</v>
      </c>
      <c r="H834" s="10">
        <v>46121.569884259261</v>
      </c>
    </row>
    <row r="835" spans="1:8" x14ac:dyDescent="0.25">
      <c r="A835">
        <v>841</v>
      </c>
      <c r="B835" t="s">
        <v>264</v>
      </c>
      <c r="C835" t="s">
        <v>655</v>
      </c>
      <c r="D835">
        <v>43</v>
      </c>
      <c r="E835" t="s">
        <v>19</v>
      </c>
      <c r="F835" t="s">
        <v>20</v>
      </c>
      <c r="G835" t="s">
        <v>23</v>
      </c>
      <c r="H835" s="10">
        <v>46121.570057870369</v>
      </c>
    </row>
    <row r="836" spans="1:8" x14ac:dyDescent="0.25">
      <c r="A836">
        <v>842</v>
      </c>
      <c r="B836" t="s">
        <v>808</v>
      </c>
      <c r="C836" t="s">
        <v>809</v>
      </c>
      <c r="D836">
        <v>26</v>
      </c>
      <c r="E836" t="s">
        <v>19</v>
      </c>
      <c r="F836" t="s">
        <v>33</v>
      </c>
      <c r="G836" t="s">
        <v>42</v>
      </c>
      <c r="H836" s="10">
        <v>46121.570520833331</v>
      </c>
    </row>
    <row r="837" spans="1:8" x14ac:dyDescent="0.25">
      <c r="A837">
        <v>843</v>
      </c>
      <c r="B837" t="s">
        <v>404</v>
      </c>
      <c r="C837" t="s">
        <v>62</v>
      </c>
      <c r="D837">
        <v>48</v>
      </c>
      <c r="E837" t="s">
        <v>10</v>
      </c>
      <c r="F837" t="s">
        <v>29</v>
      </c>
      <c r="G837" t="s">
        <v>57</v>
      </c>
      <c r="H837" s="10">
        <v>46121.570949074077</v>
      </c>
    </row>
    <row r="838" spans="1:8" x14ac:dyDescent="0.25">
      <c r="A838">
        <v>844</v>
      </c>
      <c r="B838" t="s">
        <v>474</v>
      </c>
      <c r="C838" t="s">
        <v>452</v>
      </c>
      <c r="D838">
        <v>20</v>
      </c>
      <c r="E838" t="s">
        <v>26</v>
      </c>
      <c r="F838" t="s">
        <v>73</v>
      </c>
      <c r="G838" t="s">
        <v>70</v>
      </c>
      <c r="H838" s="10">
        <v>46121.571284722224</v>
      </c>
    </row>
    <row r="839" spans="1:8" x14ac:dyDescent="0.25">
      <c r="A839">
        <v>845</v>
      </c>
      <c r="B839" t="s">
        <v>810</v>
      </c>
      <c r="C839" t="s">
        <v>811</v>
      </c>
      <c r="D839">
        <v>29</v>
      </c>
      <c r="E839" t="s">
        <v>10</v>
      </c>
      <c r="F839" t="s">
        <v>20</v>
      </c>
      <c r="G839" t="s">
        <v>16</v>
      </c>
      <c r="H839" s="10">
        <v>46121.571481481478</v>
      </c>
    </row>
    <row r="840" spans="1:8" x14ac:dyDescent="0.25">
      <c r="A840">
        <v>846</v>
      </c>
      <c r="B840" t="s">
        <v>507</v>
      </c>
      <c r="C840" t="s">
        <v>588</v>
      </c>
      <c r="D840">
        <v>27</v>
      </c>
      <c r="E840" t="s">
        <v>19</v>
      </c>
      <c r="F840" t="s">
        <v>73</v>
      </c>
      <c r="G840" t="s">
        <v>65</v>
      </c>
      <c r="H840" s="10">
        <v>46121.571979166663</v>
      </c>
    </row>
    <row r="841" spans="1:8" x14ac:dyDescent="0.25">
      <c r="A841">
        <v>847</v>
      </c>
      <c r="B841" t="s">
        <v>812</v>
      </c>
      <c r="C841" t="s">
        <v>618</v>
      </c>
      <c r="D841">
        <v>25</v>
      </c>
      <c r="E841" t="s">
        <v>26</v>
      </c>
      <c r="F841" t="s">
        <v>73</v>
      </c>
      <c r="G841" t="s">
        <v>76</v>
      </c>
      <c r="H841" s="10">
        <v>46121.57230324074</v>
      </c>
    </row>
    <row r="842" spans="1:8" x14ac:dyDescent="0.25">
      <c r="A842">
        <v>848</v>
      </c>
      <c r="B842" t="s">
        <v>813</v>
      </c>
      <c r="C842" t="s">
        <v>770</v>
      </c>
      <c r="D842">
        <v>54</v>
      </c>
      <c r="E842" t="s">
        <v>19</v>
      </c>
      <c r="F842" t="s">
        <v>45</v>
      </c>
      <c r="G842" t="s">
        <v>30</v>
      </c>
      <c r="H842" s="10">
        <v>46121.572557870371</v>
      </c>
    </row>
    <row r="843" spans="1:8" x14ac:dyDescent="0.25">
      <c r="A843">
        <v>849</v>
      </c>
      <c r="B843" t="s">
        <v>814</v>
      </c>
      <c r="C843" t="s">
        <v>815</v>
      </c>
      <c r="D843">
        <v>44</v>
      </c>
      <c r="E843" t="s">
        <v>26</v>
      </c>
      <c r="F843" t="s">
        <v>29</v>
      </c>
      <c r="G843" t="s">
        <v>30</v>
      </c>
      <c r="H843" s="10">
        <v>46121.572766203702</v>
      </c>
    </row>
    <row r="844" spans="1:8" x14ac:dyDescent="0.25">
      <c r="A844">
        <v>850</v>
      </c>
      <c r="B844" t="s">
        <v>81</v>
      </c>
      <c r="C844" t="s">
        <v>816</v>
      </c>
      <c r="D844">
        <v>67</v>
      </c>
      <c r="E844" t="s">
        <v>26</v>
      </c>
      <c r="F844" t="s">
        <v>15</v>
      </c>
      <c r="G844" t="s">
        <v>54</v>
      </c>
      <c r="H844" s="10">
        <v>46121.573078703703</v>
      </c>
    </row>
    <row r="845" spans="1:8" x14ac:dyDescent="0.25">
      <c r="A845">
        <v>851</v>
      </c>
      <c r="B845" t="s">
        <v>180</v>
      </c>
      <c r="C845" t="s">
        <v>237</v>
      </c>
      <c r="D845">
        <v>28</v>
      </c>
      <c r="E845" t="s">
        <v>19</v>
      </c>
      <c r="F845" t="s">
        <v>15</v>
      </c>
      <c r="G845" t="s">
        <v>23</v>
      </c>
      <c r="H845" s="10">
        <v>46121.573449074072</v>
      </c>
    </row>
    <row r="846" spans="1:8" x14ac:dyDescent="0.25">
      <c r="A846">
        <v>852</v>
      </c>
      <c r="B846" t="s">
        <v>250</v>
      </c>
      <c r="C846" t="s">
        <v>406</v>
      </c>
      <c r="D846">
        <v>66</v>
      </c>
      <c r="E846" t="s">
        <v>10</v>
      </c>
      <c r="F846" t="s">
        <v>45</v>
      </c>
      <c r="G846" t="s">
        <v>16</v>
      </c>
      <c r="H846" s="10">
        <v>46121.574131944442</v>
      </c>
    </row>
    <row r="847" spans="1:8" x14ac:dyDescent="0.25">
      <c r="A847">
        <v>853</v>
      </c>
      <c r="B847" t="s">
        <v>817</v>
      </c>
      <c r="C847" t="s">
        <v>419</v>
      </c>
      <c r="D847">
        <v>38</v>
      </c>
      <c r="E847" t="s">
        <v>19</v>
      </c>
      <c r="F847" t="s">
        <v>15</v>
      </c>
      <c r="G847" t="s">
        <v>57</v>
      </c>
      <c r="H847" s="10">
        <v>46121.574490740742</v>
      </c>
    </row>
    <row r="848" spans="1:8" x14ac:dyDescent="0.25">
      <c r="A848">
        <v>854</v>
      </c>
      <c r="B848" t="s">
        <v>675</v>
      </c>
      <c r="C848" t="s">
        <v>224</v>
      </c>
      <c r="D848">
        <v>24</v>
      </c>
      <c r="E848" t="s">
        <v>26</v>
      </c>
      <c r="F848" t="s">
        <v>20</v>
      </c>
      <c r="G848" t="s">
        <v>42</v>
      </c>
      <c r="H848" s="10">
        <v>46121.574837962966</v>
      </c>
    </row>
    <row r="849" spans="1:8" x14ac:dyDescent="0.25">
      <c r="A849">
        <v>855</v>
      </c>
      <c r="B849" t="s">
        <v>182</v>
      </c>
      <c r="C849" t="s">
        <v>264</v>
      </c>
      <c r="D849">
        <v>68</v>
      </c>
      <c r="E849" t="s">
        <v>19</v>
      </c>
      <c r="F849" t="s">
        <v>45</v>
      </c>
      <c r="G849" t="s">
        <v>76</v>
      </c>
      <c r="H849" s="10">
        <v>46121.57545138889</v>
      </c>
    </row>
    <row r="850" spans="1:8" x14ac:dyDescent="0.25">
      <c r="A850">
        <v>856</v>
      </c>
      <c r="B850" t="s">
        <v>818</v>
      </c>
      <c r="C850" t="s">
        <v>451</v>
      </c>
      <c r="D850">
        <v>20</v>
      </c>
      <c r="E850" t="s">
        <v>19</v>
      </c>
      <c r="F850" t="s">
        <v>29</v>
      </c>
      <c r="G850" t="s">
        <v>46</v>
      </c>
      <c r="H850" s="10">
        <v>46121.575833333336</v>
      </c>
    </row>
    <row r="851" spans="1:8" x14ac:dyDescent="0.25">
      <c r="A851">
        <v>857</v>
      </c>
      <c r="B851" t="s">
        <v>74</v>
      </c>
      <c r="C851" t="s">
        <v>265</v>
      </c>
      <c r="D851">
        <v>65</v>
      </c>
      <c r="E851" t="s">
        <v>19</v>
      </c>
      <c r="F851" t="s">
        <v>73</v>
      </c>
      <c r="G851" t="s">
        <v>65</v>
      </c>
      <c r="H851" s="10">
        <v>46121.576423611114</v>
      </c>
    </row>
    <row r="852" spans="1:8" x14ac:dyDescent="0.25">
      <c r="A852">
        <v>858</v>
      </c>
      <c r="B852" t="s">
        <v>271</v>
      </c>
      <c r="C852" t="s">
        <v>758</v>
      </c>
      <c r="D852">
        <v>48</v>
      </c>
      <c r="E852" t="s">
        <v>26</v>
      </c>
      <c r="F852" t="s">
        <v>11</v>
      </c>
      <c r="G852" t="s">
        <v>42</v>
      </c>
      <c r="H852" s="10">
        <v>46121.577118055553</v>
      </c>
    </row>
    <row r="853" spans="1:8" x14ac:dyDescent="0.25">
      <c r="A853">
        <v>859</v>
      </c>
      <c r="B853" t="s">
        <v>62</v>
      </c>
      <c r="C853" t="s">
        <v>519</v>
      </c>
      <c r="D853">
        <v>39</v>
      </c>
      <c r="E853" t="s">
        <v>10</v>
      </c>
      <c r="F853" t="s">
        <v>45</v>
      </c>
      <c r="G853" t="s">
        <v>36</v>
      </c>
      <c r="H853" s="10">
        <v>46121.57744212963</v>
      </c>
    </row>
    <row r="854" spans="1:8" x14ac:dyDescent="0.25">
      <c r="A854">
        <v>860</v>
      </c>
      <c r="B854" t="s">
        <v>420</v>
      </c>
      <c r="C854" t="s">
        <v>498</v>
      </c>
      <c r="D854">
        <v>63</v>
      </c>
      <c r="E854" t="s">
        <v>10</v>
      </c>
      <c r="F854" t="s">
        <v>73</v>
      </c>
      <c r="G854" t="s">
        <v>65</v>
      </c>
      <c r="H854" s="10">
        <v>46121.577615740738</v>
      </c>
    </row>
    <row r="855" spans="1:8" x14ac:dyDescent="0.25">
      <c r="A855">
        <v>861</v>
      </c>
      <c r="B855" t="s">
        <v>560</v>
      </c>
      <c r="C855" t="s">
        <v>642</v>
      </c>
      <c r="D855">
        <v>21</v>
      </c>
      <c r="E855" t="s">
        <v>10</v>
      </c>
      <c r="F855" t="s">
        <v>11</v>
      </c>
      <c r="G855" t="s">
        <v>39</v>
      </c>
      <c r="H855" s="10">
        <v>46121.577824074076</v>
      </c>
    </row>
    <row r="856" spans="1:8" x14ac:dyDescent="0.25">
      <c r="A856">
        <v>862</v>
      </c>
      <c r="B856" t="s">
        <v>238</v>
      </c>
      <c r="C856" t="s">
        <v>452</v>
      </c>
      <c r="D856">
        <v>54</v>
      </c>
      <c r="E856" t="s">
        <v>26</v>
      </c>
      <c r="F856" t="s">
        <v>29</v>
      </c>
      <c r="G856" t="s">
        <v>70</v>
      </c>
      <c r="H856" s="10">
        <v>46121.578425925924</v>
      </c>
    </row>
    <row r="857" spans="1:8" x14ac:dyDescent="0.25">
      <c r="A857">
        <v>863</v>
      </c>
      <c r="B857" t="s">
        <v>477</v>
      </c>
      <c r="C857" t="s">
        <v>819</v>
      </c>
      <c r="D857">
        <v>58</v>
      </c>
      <c r="E857" t="s">
        <v>10</v>
      </c>
      <c r="F857" t="s">
        <v>45</v>
      </c>
      <c r="G857" t="s">
        <v>133</v>
      </c>
      <c r="H857" s="10">
        <v>46121.579004629632</v>
      </c>
    </row>
    <row r="858" spans="1:8" x14ac:dyDescent="0.25">
      <c r="A858">
        <v>864</v>
      </c>
      <c r="B858" t="s">
        <v>597</v>
      </c>
      <c r="C858" t="s">
        <v>113</v>
      </c>
      <c r="D858">
        <v>21</v>
      </c>
      <c r="E858" t="s">
        <v>19</v>
      </c>
      <c r="F858" t="s">
        <v>11</v>
      </c>
      <c r="G858" t="s">
        <v>133</v>
      </c>
      <c r="H858" s="10">
        <v>46121.579155092593</v>
      </c>
    </row>
    <row r="859" spans="1:8" x14ac:dyDescent="0.25">
      <c r="A859">
        <v>865</v>
      </c>
      <c r="B859" t="s">
        <v>93</v>
      </c>
      <c r="C859" t="s">
        <v>820</v>
      </c>
      <c r="D859">
        <v>26</v>
      </c>
      <c r="E859" t="s">
        <v>26</v>
      </c>
      <c r="F859" t="s">
        <v>15</v>
      </c>
      <c r="G859" t="s">
        <v>36</v>
      </c>
      <c r="H859" s="10">
        <v>46121.579733796294</v>
      </c>
    </row>
    <row r="860" spans="1:8" x14ac:dyDescent="0.25">
      <c r="A860">
        <v>866</v>
      </c>
      <c r="B860" t="s">
        <v>425</v>
      </c>
      <c r="C860" t="s">
        <v>741</v>
      </c>
      <c r="D860">
        <v>38</v>
      </c>
      <c r="E860" t="s">
        <v>26</v>
      </c>
      <c r="F860" t="s">
        <v>33</v>
      </c>
      <c r="G860" t="s">
        <v>42</v>
      </c>
      <c r="H860" s="10">
        <v>46121.580335648148</v>
      </c>
    </row>
    <row r="861" spans="1:8" x14ac:dyDescent="0.25">
      <c r="A861">
        <v>867</v>
      </c>
      <c r="B861" t="s">
        <v>144</v>
      </c>
      <c r="C861" t="s">
        <v>821</v>
      </c>
      <c r="D861">
        <v>46</v>
      </c>
      <c r="E861" t="s">
        <v>26</v>
      </c>
      <c r="F861" t="s">
        <v>29</v>
      </c>
      <c r="G861" t="s">
        <v>70</v>
      </c>
      <c r="H861" s="10">
        <v>46121.580937500003</v>
      </c>
    </row>
    <row r="862" spans="1:8" x14ac:dyDescent="0.25">
      <c r="A862">
        <v>868</v>
      </c>
      <c r="B862" t="s">
        <v>822</v>
      </c>
      <c r="C862" t="s">
        <v>823</v>
      </c>
      <c r="D862">
        <v>34</v>
      </c>
      <c r="E862" t="s">
        <v>26</v>
      </c>
      <c r="F862" t="s">
        <v>20</v>
      </c>
      <c r="G862" t="s">
        <v>99</v>
      </c>
      <c r="H862" s="10">
        <v>46121.581585648149</v>
      </c>
    </row>
    <row r="863" spans="1:8" x14ac:dyDescent="0.25">
      <c r="A863">
        <v>869</v>
      </c>
      <c r="B863" t="s">
        <v>571</v>
      </c>
      <c r="C863" t="s">
        <v>478</v>
      </c>
      <c r="D863">
        <v>28</v>
      </c>
      <c r="E863" t="s">
        <v>19</v>
      </c>
      <c r="F863" t="s">
        <v>20</v>
      </c>
      <c r="G863" t="s">
        <v>39</v>
      </c>
      <c r="H863" s="10">
        <v>46121.582245370373</v>
      </c>
    </row>
    <row r="864" spans="1:8" x14ac:dyDescent="0.25">
      <c r="A864">
        <v>870</v>
      </c>
      <c r="B864" t="s">
        <v>824</v>
      </c>
      <c r="C864" t="s">
        <v>82</v>
      </c>
      <c r="D864">
        <v>27</v>
      </c>
      <c r="E864" t="s">
        <v>26</v>
      </c>
      <c r="F864" t="s">
        <v>73</v>
      </c>
      <c r="G864" t="s">
        <v>57</v>
      </c>
      <c r="H864" s="10">
        <v>46121.582604166666</v>
      </c>
    </row>
    <row r="865" spans="1:8" x14ac:dyDescent="0.25">
      <c r="A865">
        <v>871</v>
      </c>
      <c r="B865" t="s">
        <v>144</v>
      </c>
      <c r="C865" t="s">
        <v>222</v>
      </c>
      <c r="D865">
        <v>36</v>
      </c>
      <c r="E865" t="s">
        <v>26</v>
      </c>
      <c r="F865" t="s">
        <v>11</v>
      </c>
      <c r="G865" t="s">
        <v>51</v>
      </c>
      <c r="H865" s="10">
        <v>46121.582905092589</v>
      </c>
    </row>
    <row r="866" spans="1:8" x14ac:dyDescent="0.25">
      <c r="A866">
        <v>872</v>
      </c>
      <c r="B866" t="s">
        <v>13</v>
      </c>
      <c r="C866" t="s">
        <v>825</v>
      </c>
      <c r="D866">
        <v>65</v>
      </c>
      <c r="E866" t="s">
        <v>10</v>
      </c>
      <c r="F866" t="s">
        <v>73</v>
      </c>
      <c r="G866" t="s">
        <v>23</v>
      </c>
      <c r="H866" s="10">
        <v>46121.583310185182</v>
      </c>
    </row>
    <row r="867" spans="1:8" x14ac:dyDescent="0.25">
      <c r="A867">
        <v>873</v>
      </c>
      <c r="B867" t="s">
        <v>226</v>
      </c>
      <c r="C867" t="s">
        <v>826</v>
      </c>
      <c r="D867">
        <v>44</v>
      </c>
      <c r="E867" t="s">
        <v>19</v>
      </c>
      <c r="F867" t="s">
        <v>11</v>
      </c>
      <c r="G867" t="s">
        <v>23</v>
      </c>
      <c r="H867" s="10">
        <v>46121.583541666667</v>
      </c>
    </row>
    <row r="868" spans="1:8" x14ac:dyDescent="0.25">
      <c r="A868">
        <v>874</v>
      </c>
      <c r="B868" t="s">
        <v>58</v>
      </c>
      <c r="C868" t="s">
        <v>348</v>
      </c>
      <c r="D868">
        <v>53</v>
      </c>
      <c r="E868" t="s">
        <v>10</v>
      </c>
      <c r="F868" t="s">
        <v>29</v>
      </c>
      <c r="G868" t="s">
        <v>23</v>
      </c>
      <c r="H868" s="10">
        <v>46121.583726851852</v>
      </c>
    </row>
    <row r="869" spans="1:8" x14ac:dyDescent="0.25">
      <c r="A869">
        <v>875</v>
      </c>
      <c r="B869" t="s">
        <v>268</v>
      </c>
      <c r="C869" t="s">
        <v>189</v>
      </c>
      <c r="D869">
        <v>52</v>
      </c>
      <c r="E869" t="s">
        <v>19</v>
      </c>
      <c r="F869" t="s">
        <v>33</v>
      </c>
      <c r="G869" t="s">
        <v>36</v>
      </c>
      <c r="H869" s="10">
        <v>46121.583865740744</v>
      </c>
    </row>
    <row r="870" spans="1:8" x14ac:dyDescent="0.25">
      <c r="A870">
        <v>876</v>
      </c>
      <c r="B870" t="s">
        <v>246</v>
      </c>
      <c r="C870" t="s">
        <v>561</v>
      </c>
      <c r="D870">
        <v>55</v>
      </c>
      <c r="E870" t="s">
        <v>10</v>
      </c>
      <c r="F870" t="s">
        <v>20</v>
      </c>
      <c r="G870" t="s">
        <v>70</v>
      </c>
      <c r="H870" s="10">
        <v>46121.584363425929</v>
      </c>
    </row>
    <row r="871" spans="1:8" x14ac:dyDescent="0.25">
      <c r="A871">
        <v>877</v>
      </c>
      <c r="B871" t="s">
        <v>62</v>
      </c>
      <c r="C871" t="s">
        <v>135</v>
      </c>
      <c r="D871">
        <v>58</v>
      </c>
      <c r="E871" t="s">
        <v>26</v>
      </c>
      <c r="F871" t="s">
        <v>33</v>
      </c>
      <c r="G871" t="s">
        <v>133</v>
      </c>
      <c r="H871" s="10">
        <v>46121.584826388891</v>
      </c>
    </row>
    <row r="872" spans="1:8" x14ac:dyDescent="0.25">
      <c r="A872">
        <v>878</v>
      </c>
      <c r="B872" t="s">
        <v>827</v>
      </c>
      <c r="C872" t="s">
        <v>572</v>
      </c>
      <c r="D872">
        <v>66</v>
      </c>
      <c r="E872" t="s">
        <v>10</v>
      </c>
      <c r="F872" t="s">
        <v>45</v>
      </c>
      <c r="G872" t="s">
        <v>51</v>
      </c>
      <c r="H872" s="10">
        <v>46121.585162037038</v>
      </c>
    </row>
    <row r="873" spans="1:8" x14ac:dyDescent="0.25">
      <c r="A873">
        <v>879</v>
      </c>
      <c r="B873" t="s">
        <v>117</v>
      </c>
      <c r="C873" t="s">
        <v>135</v>
      </c>
      <c r="D873">
        <v>24</v>
      </c>
      <c r="E873" t="s">
        <v>19</v>
      </c>
      <c r="F873" t="s">
        <v>73</v>
      </c>
      <c r="G873" t="s">
        <v>16</v>
      </c>
      <c r="H873" s="10">
        <v>46121.585636574076</v>
      </c>
    </row>
    <row r="874" spans="1:8" x14ac:dyDescent="0.25">
      <c r="A874">
        <v>880</v>
      </c>
      <c r="B874" t="s">
        <v>302</v>
      </c>
      <c r="C874" t="s">
        <v>467</v>
      </c>
      <c r="D874">
        <v>64</v>
      </c>
      <c r="E874" t="s">
        <v>26</v>
      </c>
      <c r="F874" t="s">
        <v>73</v>
      </c>
      <c r="G874" t="s">
        <v>76</v>
      </c>
      <c r="H874" s="10">
        <v>46121.586041666669</v>
      </c>
    </row>
    <row r="875" spans="1:8" x14ac:dyDescent="0.25">
      <c r="A875">
        <v>881</v>
      </c>
      <c r="B875" t="s">
        <v>411</v>
      </c>
      <c r="C875" t="s">
        <v>828</v>
      </c>
      <c r="D875">
        <v>47</v>
      </c>
      <c r="E875" t="s">
        <v>26</v>
      </c>
      <c r="F875" t="s">
        <v>29</v>
      </c>
      <c r="G875" t="s">
        <v>51</v>
      </c>
      <c r="H875" s="10">
        <v>46121.586712962962</v>
      </c>
    </row>
    <row r="876" spans="1:8" x14ac:dyDescent="0.25">
      <c r="A876">
        <v>882</v>
      </c>
      <c r="B876" t="s">
        <v>527</v>
      </c>
      <c r="C876" t="s">
        <v>684</v>
      </c>
      <c r="D876">
        <v>63</v>
      </c>
      <c r="E876" t="s">
        <v>26</v>
      </c>
      <c r="F876" t="s">
        <v>11</v>
      </c>
      <c r="G876" t="s">
        <v>80</v>
      </c>
      <c r="H876" s="10">
        <v>46121.587060185186</v>
      </c>
    </row>
    <row r="877" spans="1:8" x14ac:dyDescent="0.25">
      <c r="A877">
        <v>883</v>
      </c>
      <c r="B877" t="s">
        <v>829</v>
      </c>
      <c r="C877" t="s">
        <v>830</v>
      </c>
      <c r="D877">
        <v>31</v>
      </c>
      <c r="E877" t="s">
        <v>26</v>
      </c>
      <c r="F877" t="s">
        <v>73</v>
      </c>
      <c r="G877" t="s">
        <v>70</v>
      </c>
      <c r="H877" s="10">
        <v>46121.587534722225</v>
      </c>
    </row>
    <row r="878" spans="1:8" x14ac:dyDescent="0.25">
      <c r="A878">
        <v>884</v>
      </c>
      <c r="B878" t="s">
        <v>378</v>
      </c>
      <c r="C878" t="s">
        <v>831</v>
      </c>
      <c r="D878">
        <v>28</v>
      </c>
      <c r="E878" t="s">
        <v>19</v>
      </c>
      <c r="F878" t="s">
        <v>15</v>
      </c>
      <c r="G878" t="s">
        <v>99</v>
      </c>
      <c r="H878" s="10">
        <v>46121.587951388887</v>
      </c>
    </row>
    <row r="879" spans="1:8" x14ac:dyDescent="0.25">
      <c r="A879">
        <v>885</v>
      </c>
      <c r="B879" t="s">
        <v>117</v>
      </c>
      <c r="C879" t="s">
        <v>82</v>
      </c>
      <c r="D879">
        <v>25</v>
      </c>
      <c r="E879" t="s">
        <v>19</v>
      </c>
      <c r="F879" t="s">
        <v>20</v>
      </c>
      <c r="G879" t="s">
        <v>30</v>
      </c>
      <c r="H879" s="10">
        <v>46121.588321759256</v>
      </c>
    </row>
    <row r="880" spans="1:8" x14ac:dyDescent="0.25">
      <c r="A880">
        <v>886</v>
      </c>
      <c r="B880" t="s">
        <v>429</v>
      </c>
      <c r="C880" t="s">
        <v>420</v>
      </c>
      <c r="D880">
        <v>65</v>
      </c>
      <c r="E880" t="s">
        <v>26</v>
      </c>
      <c r="F880" t="s">
        <v>73</v>
      </c>
      <c r="G880" t="s">
        <v>80</v>
      </c>
      <c r="H880" s="10">
        <v>46121.588576388887</v>
      </c>
    </row>
    <row r="881" spans="1:8" x14ac:dyDescent="0.25">
      <c r="A881">
        <v>887</v>
      </c>
      <c r="B881" t="s">
        <v>832</v>
      </c>
      <c r="C881" t="s">
        <v>833</v>
      </c>
      <c r="D881">
        <v>29</v>
      </c>
      <c r="E881" t="s">
        <v>26</v>
      </c>
      <c r="F881" t="s">
        <v>20</v>
      </c>
      <c r="G881" t="s">
        <v>130</v>
      </c>
      <c r="H881" s="10">
        <v>46121.589178240742</v>
      </c>
    </row>
    <row r="882" spans="1:8" x14ac:dyDescent="0.25">
      <c r="A882">
        <v>888</v>
      </c>
      <c r="B882" t="s">
        <v>86</v>
      </c>
      <c r="C882" t="s">
        <v>729</v>
      </c>
      <c r="D882">
        <v>45</v>
      </c>
      <c r="E882" t="s">
        <v>26</v>
      </c>
      <c r="F882" t="s">
        <v>45</v>
      </c>
      <c r="G882" t="s">
        <v>114</v>
      </c>
      <c r="H882" s="10">
        <v>46121.589606481481</v>
      </c>
    </row>
    <row r="883" spans="1:8" x14ac:dyDescent="0.25">
      <c r="A883">
        <v>889</v>
      </c>
      <c r="B883" t="s">
        <v>610</v>
      </c>
      <c r="C883" t="s">
        <v>834</v>
      </c>
      <c r="D883">
        <v>38</v>
      </c>
      <c r="E883" t="s">
        <v>10</v>
      </c>
      <c r="F883" t="s">
        <v>29</v>
      </c>
      <c r="G883" t="s">
        <v>68</v>
      </c>
      <c r="H883" s="10">
        <v>46121.590115740742</v>
      </c>
    </row>
    <row r="884" spans="1:8" x14ac:dyDescent="0.25">
      <c r="A884">
        <v>890</v>
      </c>
      <c r="B884" t="s">
        <v>97</v>
      </c>
      <c r="C884" t="s">
        <v>594</v>
      </c>
      <c r="D884">
        <v>59</v>
      </c>
      <c r="E884" t="s">
        <v>26</v>
      </c>
      <c r="F884" t="s">
        <v>33</v>
      </c>
      <c r="G884" t="s">
        <v>70</v>
      </c>
      <c r="H884" s="10">
        <v>46121.590648148151</v>
      </c>
    </row>
    <row r="885" spans="1:8" x14ac:dyDescent="0.25">
      <c r="A885">
        <v>891</v>
      </c>
      <c r="B885" t="s">
        <v>835</v>
      </c>
      <c r="C885" t="s">
        <v>139</v>
      </c>
      <c r="D885">
        <v>42</v>
      </c>
      <c r="E885" t="s">
        <v>19</v>
      </c>
      <c r="F885" t="s">
        <v>20</v>
      </c>
      <c r="G885" t="s">
        <v>80</v>
      </c>
      <c r="H885" s="10">
        <v>46121.591111111113</v>
      </c>
    </row>
    <row r="886" spans="1:8" x14ac:dyDescent="0.25">
      <c r="A886">
        <v>892</v>
      </c>
      <c r="B886" t="s">
        <v>127</v>
      </c>
      <c r="C886" t="s">
        <v>743</v>
      </c>
      <c r="D886">
        <v>46</v>
      </c>
      <c r="E886" t="s">
        <v>19</v>
      </c>
      <c r="F886" t="s">
        <v>33</v>
      </c>
      <c r="G886" t="s">
        <v>70</v>
      </c>
      <c r="H886" s="10">
        <v>46121.591273148151</v>
      </c>
    </row>
    <row r="887" spans="1:8" x14ac:dyDescent="0.25">
      <c r="A887">
        <v>893</v>
      </c>
      <c r="B887" t="s">
        <v>194</v>
      </c>
      <c r="C887" t="s">
        <v>312</v>
      </c>
      <c r="D887">
        <v>27</v>
      </c>
      <c r="E887" t="s">
        <v>19</v>
      </c>
      <c r="F887" t="s">
        <v>73</v>
      </c>
      <c r="G887" t="s">
        <v>65</v>
      </c>
      <c r="H887" s="10">
        <v>46121.591504629629</v>
      </c>
    </row>
    <row r="888" spans="1:8" x14ac:dyDescent="0.25">
      <c r="A888">
        <v>894</v>
      </c>
      <c r="B888" t="s">
        <v>164</v>
      </c>
      <c r="C888" t="s">
        <v>428</v>
      </c>
      <c r="D888">
        <v>29</v>
      </c>
      <c r="E888" t="s">
        <v>19</v>
      </c>
      <c r="F888" t="s">
        <v>15</v>
      </c>
      <c r="G888" t="s">
        <v>80</v>
      </c>
      <c r="H888" s="10">
        <v>46121.592083333337</v>
      </c>
    </row>
    <row r="889" spans="1:8" x14ac:dyDescent="0.25">
      <c r="A889">
        <v>895</v>
      </c>
      <c r="B889" t="s">
        <v>836</v>
      </c>
      <c r="C889" t="s">
        <v>374</v>
      </c>
      <c r="D889">
        <v>42</v>
      </c>
      <c r="E889" t="s">
        <v>26</v>
      </c>
      <c r="F889" t="s">
        <v>73</v>
      </c>
      <c r="G889" t="s">
        <v>99</v>
      </c>
      <c r="H889" s="10">
        <v>46121.592476851853</v>
      </c>
    </row>
    <row r="890" spans="1:8" x14ac:dyDescent="0.25">
      <c r="A890">
        <v>896</v>
      </c>
      <c r="B890" t="s">
        <v>837</v>
      </c>
      <c r="C890" t="s">
        <v>838</v>
      </c>
      <c r="D890">
        <v>39</v>
      </c>
      <c r="E890" t="s">
        <v>10</v>
      </c>
      <c r="F890" t="s">
        <v>45</v>
      </c>
      <c r="G890" t="s">
        <v>70</v>
      </c>
      <c r="H890" s="10">
        <v>46121.592743055553</v>
      </c>
    </row>
    <row r="891" spans="1:8" x14ac:dyDescent="0.25">
      <c r="A891">
        <v>897</v>
      </c>
      <c r="B891" t="s">
        <v>740</v>
      </c>
      <c r="C891" t="s">
        <v>135</v>
      </c>
      <c r="D891">
        <v>21</v>
      </c>
      <c r="E891" t="s">
        <v>26</v>
      </c>
      <c r="F891" t="s">
        <v>29</v>
      </c>
      <c r="G891" t="s">
        <v>57</v>
      </c>
      <c r="H891" s="10">
        <v>46121.593171296299</v>
      </c>
    </row>
    <row r="892" spans="1:8" x14ac:dyDescent="0.25">
      <c r="A892">
        <v>898</v>
      </c>
      <c r="B892" t="s">
        <v>142</v>
      </c>
      <c r="C892" t="s">
        <v>212</v>
      </c>
      <c r="D892">
        <v>55</v>
      </c>
      <c r="E892" t="s">
        <v>10</v>
      </c>
      <c r="F892" t="s">
        <v>11</v>
      </c>
      <c r="G892" t="s">
        <v>76</v>
      </c>
      <c r="H892" s="10">
        <v>46121.593842592592</v>
      </c>
    </row>
    <row r="893" spans="1:8" x14ac:dyDescent="0.25">
      <c r="A893">
        <v>899</v>
      </c>
      <c r="B893" t="s">
        <v>549</v>
      </c>
      <c r="C893" t="s">
        <v>839</v>
      </c>
      <c r="D893">
        <v>24</v>
      </c>
      <c r="E893" t="s">
        <v>10</v>
      </c>
      <c r="F893" t="s">
        <v>11</v>
      </c>
      <c r="G893" t="s">
        <v>76</v>
      </c>
      <c r="H893" s="10">
        <v>46121.594178240739</v>
      </c>
    </row>
    <row r="894" spans="1:8" x14ac:dyDescent="0.25">
      <c r="A894">
        <v>900</v>
      </c>
      <c r="B894" t="s">
        <v>52</v>
      </c>
      <c r="C894" t="s">
        <v>348</v>
      </c>
      <c r="D894">
        <v>55</v>
      </c>
      <c r="E894" t="s">
        <v>26</v>
      </c>
      <c r="F894" t="s">
        <v>33</v>
      </c>
      <c r="G894" t="s">
        <v>16</v>
      </c>
      <c r="H894" s="10">
        <v>46121.594710648147</v>
      </c>
    </row>
    <row r="895" spans="1:8" x14ac:dyDescent="0.25">
      <c r="A895">
        <v>901</v>
      </c>
      <c r="B895" t="s">
        <v>840</v>
      </c>
      <c r="C895" t="s">
        <v>653</v>
      </c>
      <c r="D895">
        <v>51</v>
      </c>
      <c r="E895" t="s">
        <v>19</v>
      </c>
      <c r="F895" t="s">
        <v>33</v>
      </c>
      <c r="G895" t="s">
        <v>76</v>
      </c>
      <c r="H895" s="10">
        <v>46121.595289351855</v>
      </c>
    </row>
    <row r="896" spans="1:8" x14ac:dyDescent="0.25">
      <c r="A896">
        <v>902</v>
      </c>
      <c r="B896" t="s">
        <v>262</v>
      </c>
      <c r="C896" t="s">
        <v>82</v>
      </c>
      <c r="D896">
        <v>23</v>
      </c>
      <c r="E896" t="s">
        <v>26</v>
      </c>
      <c r="F896" t="s">
        <v>33</v>
      </c>
      <c r="G896" t="s">
        <v>76</v>
      </c>
      <c r="H896" s="10">
        <v>46121.59547453704</v>
      </c>
    </row>
    <row r="897" spans="1:8" x14ac:dyDescent="0.25">
      <c r="A897">
        <v>903</v>
      </c>
      <c r="B897" t="s">
        <v>573</v>
      </c>
      <c r="C897" t="s">
        <v>434</v>
      </c>
      <c r="D897">
        <v>40</v>
      </c>
      <c r="E897" t="s">
        <v>19</v>
      </c>
      <c r="F897" t="s">
        <v>29</v>
      </c>
      <c r="G897" t="s">
        <v>46</v>
      </c>
      <c r="H897" s="10">
        <v>46121.596076388887</v>
      </c>
    </row>
    <row r="898" spans="1:8" x14ac:dyDescent="0.25">
      <c r="A898">
        <v>904</v>
      </c>
      <c r="B898" t="s">
        <v>43</v>
      </c>
      <c r="C898" t="s">
        <v>239</v>
      </c>
      <c r="D898">
        <v>65</v>
      </c>
      <c r="E898" t="s">
        <v>26</v>
      </c>
      <c r="F898" t="s">
        <v>45</v>
      </c>
      <c r="G898" t="s">
        <v>57</v>
      </c>
      <c r="H898" s="10">
        <v>46121.596342592595</v>
      </c>
    </row>
    <row r="899" spans="1:8" x14ac:dyDescent="0.25">
      <c r="A899">
        <v>905</v>
      </c>
      <c r="B899" t="s">
        <v>481</v>
      </c>
      <c r="C899" t="s">
        <v>841</v>
      </c>
      <c r="D899">
        <v>28</v>
      </c>
      <c r="E899" t="s">
        <v>19</v>
      </c>
      <c r="F899" t="s">
        <v>45</v>
      </c>
      <c r="G899" t="s">
        <v>54</v>
      </c>
      <c r="H899" s="10">
        <v>46121.596782407411</v>
      </c>
    </row>
    <row r="900" spans="1:8" x14ac:dyDescent="0.25">
      <c r="A900">
        <v>906</v>
      </c>
      <c r="B900" t="s">
        <v>559</v>
      </c>
      <c r="C900" t="s">
        <v>583</v>
      </c>
      <c r="D900">
        <v>59</v>
      </c>
      <c r="E900" t="s">
        <v>19</v>
      </c>
      <c r="F900" t="s">
        <v>20</v>
      </c>
      <c r="G900" t="s">
        <v>16</v>
      </c>
      <c r="H900" s="10">
        <v>46121.597418981481</v>
      </c>
    </row>
    <row r="901" spans="1:8" x14ac:dyDescent="0.25">
      <c r="A901">
        <v>907</v>
      </c>
      <c r="B901" t="s">
        <v>112</v>
      </c>
      <c r="C901" t="s">
        <v>842</v>
      </c>
      <c r="D901">
        <v>38</v>
      </c>
      <c r="E901" t="s">
        <v>19</v>
      </c>
      <c r="F901" t="s">
        <v>73</v>
      </c>
      <c r="G901" t="s">
        <v>133</v>
      </c>
      <c r="H901" s="10">
        <v>46121.598611111112</v>
      </c>
    </row>
    <row r="902" spans="1:8" x14ac:dyDescent="0.25">
      <c r="A902">
        <v>908</v>
      </c>
      <c r="B902" t="s">
        <v>637</v>
      </c>
      <c r="C902" t="s">
        <v>715</v>
      </c>
      <c r="D902">
        <v>49</v>
      </c>
      <c r="E902" t="s">
        <v>26</v>
      </c>
      <c r="F902" t="s">
        <v>20</v>
      </c>
      <c r="G902" t="s">
        <v>99</v>
      </c>
      <c r="H902" s="10">
        <v>46122.583587962959</v>
      </c>
    </row>
    <row r="903" spans="1:8" x14ac:dyDescent="0.25">
      <c r="A903">
        <v>909</v>
      </c>
      <c r="B903" t="s">
        <v>477</v>
      </c>
      <c r="C903" t="s">
        <v>875</v>
      </c>
      <c r="D903">
        <v>30</v>
      </c>
      <c r="E903" t="s">
        <v>26</v>
      </c>
      <c r="F903" t="s">
        <v>33</v>
      </c>
      <c r="G903" t="s">
        <v>76</v>
      </c>
      <c r="H903" s="10">
        <v>46122.584189814814</v>
      </c>
    </row>
    <row r="904" spans="1:8" x14ac:dyDescent="0.25">
      <c r="A904">
        <v>910</v>
      </c>
      <c r="B904" t="s">
        <v>160</v>
      </c>
      <c r="C904" t="s">
        <v>96</v>
      </c>
      <c r="D904">
        <v>53</v>
      </c>
      <c r="E904" t="s">
        <v>19</v>
      </c>
      <c r="F904" t="s">
        <v>45</v>
      </c>
      <c r="G904" t="s">
        <v>65</v>
      </c>
      <c r="H904" s="10">
        <v>46122.584641203706</v>
      </c>
    </row>
    <row r="905" spans="1:8" x14ac:dyDescent="0.25">
      <c r="A905">
        <v>911</v>
      </c>
      <c r="B905" t="s">
        <v>818</v>
      </c>
      <c r="C905" t="s">
        <v>715</v>
      </c>
      <c r="D905">
        <v>69</v>
      </c>
      <c r="E905" t="s">
        <v>10</v>
      </c>
      <c r="F905" t="s">
        <v>33</v>
      </c>
      <c r="G905" t="s">
        <v>51</v>
      </c>
      <c r="H905" s="10">
        <v>46122.584837962961</v>
      </c>
    </row>
    <row r="906" spans="1:8" x14ac:dyDescent="0.25">
      <c r="A906">
        <v>912</v>
      </c>
      <c r="B906" t="s">
        <v>876</v>
      </c>
      <c r="C906" t="s">
        <v>135</v>
      </c>
      <c r="D906">
        <v>60</v>
      </c>
      <c r="E906" t="s">
        <v>19</v>
      </c>
      <c r="F906" t="s">
        <v>29</v>
      </c>
      <c r="G906" t="s">
        <v>16</v>
      </c>
      <c r="H906" s="10">
        <v>46122.585405092592</v>
      </c>
    </row>
    <row r="907" spans="1:8" x14ac:dyDescent="0.25">
      <c r="A907">
        <v>913</v>
      </c>
      <c r="B907" t="s">
        <v>127</v>
      </c>
      <c r="C907" t="s">
        <v>877</v>
      </c>
      <c r="D907">
        <v>59</v>
      </c>
      <c r="E907" t="s">
        <v>10</v>
      </c>
      <c r="F907" t="s">
        <v>15</v>
      </c>
      <c r="G907" t="s">
        <v>68</v>
      </c>
      <c r="H907" s="10">
        <v>46122.586064814815</v>
      </c>
    </row>
    <row r="908" spans="1:8" x14ac:dyDescent="0.25">
      <c r="A908">
        <v>914</v>
      </c>
      <c r="B908" t="s">
        <v>878</v>
      </c>
      <c r="C908" t="s">
        <v>879</v>
      </c>
      <c r="D908">
        <v>51</v>
      </c>
      <c r="E908" t="s">
        <v>10</v>
      </c>
      <c r="F908" t="s">
        <v>15</v>
      </c>
      <c r="G908" t="s">
        <v>46</v>
      </c>
      <c r="H908" s="10">
        <v>46122.586354166669</v>
      </c>
    </row>
    <row r="909" spans="1:8" x14ac:dyDescent="0.25">
      <c r="A909">
        <v>915</v>
      </c>
      <c r="B909" t="s">
        <v>175</v>
      </c>
      <c r="C909" t="s">
        <v>94</v>
      </c>
      <c r="D909">
        <v>60</v>
      </c>
      <c r="E909" t="s">
        <v>19</v>
      </c>
      <c r="F909" t="s">
        <v>33</v>
      </c>
      <c r="G909" t="s">
        <v>54</v>
      </c>
      <c r="H909" s="10">
        <v>46122.586759259262</v>
      </c>
    </row>
    <row r="910" spans="1:8" x14ac:dyDescent="0.25">
      <c r="A910">
        <v>916</v>
      </c>
      <c r="B910" t="s">
        <v>258</v>
      </c>
      <c r="C910" t="s">
        <v>135</v>
      </c>
      <c r="D910">
        <v>47</v>
      </c>
      <c r="E910" t="s">
        <v>10</v>
      </c>
      <c r="F910" t="s">
        <v>73</v>
      </c>
      <c r="G910" t="s">
        <v>130</v>
      </c>
      <c r="H910" s="10">
        <v>46122.586956018517</v>
      </c>
    </row>
    <row r="911" spans="1:8" x14ac:dyDescent="0.25">
      <c r="A911">
        <v>917</v>
      </c>
      <c r="B911" t="s">
        <v>58</v>
      </c>
      <c r="C911" t="s">
        <v>205</v>
      </c>
      <c r="D911">
        <v>19</v>
      </c>
      <c r="E911" t="s">
        <v>19</v>
      </c>
      <c r="F911" t="s">
        <v>11</v>
      </c>
      <c r="G911" t="s">
        <v>76</v>
      </c>
      <c r="H911" s="10">
        <v>46122.58730324074</v>
      </c>
    </row>
    <row r="912" spans="1:8" x14ac:dyDescent="0.25">
      <c r="A912">
        <v>918</v>
      </c>
      <c r="B912" t="s">
        <v>78</v>
      </c>
      <c r="C912" t="s">
        <v>172</v>
      </c>
      <c r="D912">
        <v>69</v>
      </c>
      <c r="E912" t="s">
        <v>26</v>
      </c>
      <c r="F912" t="s">
        <v>45</v>
      </c>
      <c r="G912" t="s">
        <v>76</v>
      </c>
      <c r="H912" s="10">
        <v>46122.587546296294</v>
      </c>
    </row>
    <row r="913" spans="1:8" x14ac:dyDescent="0.25">
      <c r="A913">
        <v>919</v>
      </c>
      <c r="B913" t="s">
        <v>880</v>
      </c>
      <c r="C913" t="s">
        <v>811</v>
      </c>
      <c r="D913">
        <v>44</v>
      </c>
      <c r="E913" t="s">
        <v>10</v>
      </c>
      <c r="F913" t="s">
        <v>29</v>
      </c>
      <c r="G913" t="s">
        <v>23</v>
      </c>
      <c r="H913" s="10">
        <v>46122.588043981479</v>
      </c>
    </row>
    <row r="914" spans="1:8" x14ac:dyDescent="0.25">
      <c r="A914">
        <v>920</v>
      </c>
      <c r="B914" t="s">
        <v>142</v>
      </c>
      <c r="C914" t="s">
        <v>257</v>
      </c>
      <c r="D914">
        <v>64</v>
      </c>
      <c r="E914" t="s">
        <v>26</v>
      </c>
      <c r="F914" t="s">
        <v>20</v>
      </c>
      <c r="G914" t="s">
        <v>68</v>
      </c>
      <c r="H914" s="10">
        <v>46122.58834490741</v>
      </c>
    </row>
    <row r="915" spans="1:8" x14ac:dyDescent="0.25">
      <c r="A915">
        <v>921</v>
      </c>
      <c r="B915" t="s">
        <v>792</v>
      </c>
      <c r="C915" t="s">
        <v>881</v>
      </c>
      <c r="D915">
        <v>68</v>
      </c>
      <c r="E915" t="s">
        <v>10</v>
      </c>
      <c r="F915" t="s">
        <v>20</v>
      </c>
      <c r="G915" t="s">
        <v>114</v>
      </c>
      <c r="H915" s="10">
        <v>46122.589016203703</v>
      </c>
    </row>
    <row r="916" spans="1:8" x14ac:dyDescent="0.25">
      <c r="A916">
        <v>922</v>
      </c>
      <c r="B916" t="s">
        <v>491</v>
      </c>
      <c r="C916" t="s">
        <v>163</v>
      </c>
      <c r="D916">
        <v>58</v>
      </c>
      <c r="E916" t="s">
        <v>10</v>
      </c>
      <c r="F916" t="s">
        <v>29</v>
      </c>
      <c r="G916" t="s">
        <v>51</v>
      </c>
      <c r="H916" s="10">
        <v>46122.589143518519</v>
      </c>
    </row>
    <row r="917" spans="1:8" x14ac:dyDescent="0.25">
      <c r="A917">
        <v>923</v>
      </c>
      <c r="B917" t="s">
        <v>563</v>
      </c>
      <c r="C917" t="s">
        <v>345</v>
      </c>
      <c r="D917">
        <v>20</v>
      </c>
      <c r="E917" t="s">
        <v>10</v>
      </c>
      <c r="F917" t="s">
        <v>15</v>
      </c>
      <c r="G917" t="s">
        <v>42</v>
      </c>
      <c r="H917" s="10">
        <v>46122.589375000003</v>
      </c>
    </row>
    <row r="918" spans="1:8" x14ac:dyDescent="0.25">
      <c r="A918">
        <v>924</v>
      </c>
      <c r="B918" t="s">
        <v>182</v>
      </c>
      <c r="C918" t="s">
        <v>157</v>
      </c>
      <c r="D918">
        <v>20</v>
      </c>
      <c r="E918" t="s">
        <v>26</v>
      </c>
      <c r="F918" t="s">
        <v>15</v>
      </c>
      <c r="G918" t="s">
        <v>51</v>
      </c>
      <c r="H918" s="10">
        <v>46122.589849537035</v>
      </c>
    </row>
    <row r="919" spans="1:8" x14ac:dyDescent="0.25">
      <c r="A919">
        <v>925</v>
      </c>
      <c r="B919" t="s">
        <v>84</v>
      </c>
      <c r="C919" t="s">
        <v>87</v>
      </c>
      <c r="D919">
        <v>70</v>
      </c>
      <c r="E919" t="s">
        <v>26</v>
      </c>
      <c r="F919" t="s">
        <v>11</v>
      </c>
      <c r="G919" t="s">
        <v>80</v>
      </c>
      <c r="H919" s="10">
        <v>46122.590370370373</v>
      </c>
    </row>
    <row r="920" spans="1:8" x14ac:dyDescent="0.25">
      <c r="A920">
        <v>926</v>
      </c>
      <c r="B920" t="s">
        <v>194</v>
      </c>
      <c r="C920" t="s">
        <v>309</v>
      </c>
      <c r="D920">
        <v>54</v>
      </c>
      <c r="E920" t="s">
        <v>10</v>
      </c>
      <c r="F920" t="s">
        <v>45</v>
      </c>
      <c r="G920" t="s">
        <v>65</v>
      </c>
      <c r="H920" s="10">
        <v>46122.59070601852</v>
      </c>
    </row>
    <row r="921" spans="1:8" x14ac:dyDescent="0.25">
      <c r="A921">
        <v>927</v>
      </c>
      <c r="B921" t="s">
        <v>553</v>
      </c>
      <c r="C921" t="s">
        <v>882</v>
      </c>
      <c r="D921">
        <v>43</v>
      </c>
      <c r="E921" t="s">
        <v>10</v>
      </c>
      <c r="F921" t="s">
        <v>15</v>
      </c>
      <c r="G921" t="s">
        <v>39</v>
      </c>
      <c r="H921" s="10">
        <v>46122.591296296298</v>
      </c>
    </row>
    <row r="922" spans="1:8" x14ac:dyDescent="0.25">
      <c r="A922">
        <v>928</v>
      </c>
      <c r="B922" t="s">
        <v>559</v>
      </c>
      <c r="C922" t="s">
        <v>135</v>
      </c>
      <c r="D922">
        <v>22</v>
      </c>
      <c r="E922" t="s">
        <v>19</v>
      </c>
      <c r="F922" t="s">
        <v>15</v>
      </c>
      <c r="G922" t="s">
        <v>76</v>
      </c>
      <c r="H922" s="10">
        <v>46122.591412037036</v>
      </c>
    </row>
    <row r="923" spans="1:8" x14ac:dyDescent="0.25">
      <c r="A923">
        <v>929</v>
      </c>
      <c r="B923" t="s">
        <v>62</v>
      </c>
      <c r="C923" t="s">
        <v>623</v>
      </c>
      <c r="D923">
        <v>32</v>
      </c>
      <c r="E923" t="s">
        <v>26</v>
      </c>
      <c r="F923" t="s">
        <v>73</v>
      </c>
      <c r="G923" t="s">
        <v>57</v>
      </c>
      <c r="H923" s="10">
        <v>46122.591874999998</v>
      </c>
    </row>
    <row r="924" spans="1:8" x14ac:dyDescent="0.25">
      <c r="A924">
        <v>930</v>
      </c>
      <c r="B924" t="s">
        <v>13</v>
      </c>
      <c r="C924" t="s">
        <v>172</v>
      </c>
      <c r="D924">
        <v>42</v>
      </c>
      <c r="E924" t="s">
        <v>19</v>
      </c>
      <c r="F924" t="s">
        <v>15</v>
      </c>
      <c r="G924" t="s">
        <v>65</v>
      </c>
      <c r="H924" s="10">
        <v>46122.592395833337</v>
      </c>
    </row>
    <row r="925" spans="1:8" x14ac:dyDescent="0.25">
      <c r="A925">
        <v>931</v>
      </c>
      <c r="B925" t="s">
        <v>357</v>
      </c>
      <c r="C925" t="s">
        <v>101</v>
      </c>
      <c r="D925">
        <v>44</v>
      </c>
      <c r="E925" t="s">
        <v>19</v>
      </c>
      <c r="F925" t="s">
        <v>20</v>
      </c>
      <c r="G925" t="s">
        <v>68</v>
      </c>
      <c r="H925" s="10">
        <v>46122.592627314814</v>
      </c>
    </row>
    <row r="926" spans="1:8" x14ac:dyDescent="0.25">
      <c r="A926">
        <v>932</v>
      </c>
      <c r="B926" t="s">
        <v>13</v>
      </c>
      <c r="C926" t="s">
        <v>677</v>
      </c>
      <c r="D926">
        <v>64</v>
      </c>
      <c r="E926" t="s">
        <v>19</v>
      </c>
      <c r="F926" t="s">
        <v>45</v>
      </c>
      <c r="G926" t="s">
        <v>23</v>
      </c>
      <c r="H926" s="10">
        <v>46122.592893518522</v>
      </c>
    </row>
    <row r="927" spans="1:8" x14ac:dyDescent="0.25">
      <c r="A927">
        <v>933</v>
      </c>
      <c r="B927" t="s">
        <v>462</v>
      </c>
      <c r="C927" t="s">
        <v>883</v>
      </c>
      <c r="D927">
        <v>53</v>
      </c>
      <c r="E927" t="s">
        <v>10</v>
      </c>
      <c r="F927" t="s">
        <v>11</v>
      </c>
      <c r="G927" t="s">
        <v>130</v>
      </c>
      <c r="H927" s="10">
        <v>46122.593333333331</v>
      </c>
    </row>
    <row r="928" spans="1:8" x14ac:dyDescent="0.25">
      <c r="A928">
        <v>934</v>
      </c>
      <c r="B928" t="s">
        <v>344</v>
      </c>
      <c r="C928" t="s">
        <v>161</v>
      </c>
      <c r="D928">
        <v>27</v>
      </c>
      <c r="E928" t="s">
        <v>10</v>
      </c>
      <c r="F928" t="s">
        <v>11</v>
      </c>
      <c r="G928" t="s">
        <v>42</v>
      </c>
      <c r="H928" s="10">
        <v>46122.593645833331</v>
      </c>
    </row>
    <row r="929" spans="1:8" x14ac:dyDescent="0.25">
      <c r="A929">
        <v>935</v>
      </c>
      <c r="B929" t="s">
        <v>95</v>
      </c>
      <c r="C929" t="s">
        <v>194</v>
      </c>
      <c r="D929">
        <v>24</v>
      </c>
      <c r="E929" t="s">
        <v>26</v>
      </c>
      <c r="F929" t="s">
        <v>33</v>
      </c>
      <c r="G929" t="s">
        <v>57</v>
      </c>
      <c r="H929" s="10">
        <v>46122.5937962963</v>
      </c>
    </row>
    <row r="930" spans="1:8" x14ac:dyDescent="0.25">
      <c r="A930">
        <v>936</v>
      </c>
      <c r="B930" t="s">
        <v>92</v>
      </c>
      <c r="C930" t="s">
        <v>884</v>
      </c>
      <c r="D930">
        <v>63</v>
      </c>
      <c r="E930" t="s">
        <v>19</v>
      </c>
      <c r="F930" t="s">
        <v>15</v>
      </c>
      <c r="G930" t="s">
        <v>57</v>
      </c>
      <c r="H930" s="10">
        <v>46122.594259259262</v>
      </c>
    </row>
    <row r="931" spans="1:8" x14ac:dyDescent="0.25">
      <c r="A931">
        <v>937</v>
      </c>
      <c r="B931" t="s">
        <v>885</v>
      </c>
      <c r="C931" t="s">
        <v>619</v>
      </c>
      <c r="D931">
        <v>33</v>
      </c>
      <c r="E931" t="s">
        <v>26</v>
      </c>
      <c r="F931" t="s">
        <v>45</v>
      </c>
      <c r="G931" t="s">
        <v>54</v>
      </c>
      <c r="H931" s="10">
        <v>46122.594664351855</v>
      </c>
    </row>
    <row r="932" spans="1:8" x14ac:dyDescent="0.25">
      <c r="A932">
        <v>938</v>
      </c>
      <c r="B932" t="s">
        <v>458</v>
      </c>
      <c r="C932" t="s">
        <v>732</v>
      </c>
      <c r="D932">
        <v>18</v>
      </c>
      <c r="E932" t="s">
        <v>26</v>
      </c>
      <c r="F932" t="s">
        <v>45</v>
      </c>
      <c r="G932" t="s">
        <v>54</v>
      </c>
      <c r="H932" s="10">
        <v>46122.594918981478</v>
      </c>
    </row>
    <row r="933" spans="1:8" x14ac:dyDescent="0.25">
      <c r="A933">
        <v>939</v>
      </c>
      <c r="B933" t="s">
        <v>24</v>
      </c>
      <c r="C933" t="s">
        <v>126</v>
      </c>
      <c r="D933">
        <v>27</v>
      </c>
      <c r="E933" t="s">
        <v>26</v>
      </c>
      <c r="F933" t="s">
        <v>11</v>
      </c>
      <c r="G933" t="s">
        <v>16</v>
      </c>
      <c r="H933" s="10">
        <v>46122.595405092594</v>
      </c>
    </row>
    <row r="934" spans="1:8" x14ac:dyDescent="0.25">
      <c r="A934">
        <v>940</v>
      </c>
      <c r="B934" t="s">
        <v>365</v>
      </c>
      <c r="C934" t="s">
        <v>886</v>
      </c>
      <c r="D934">
        <v>39</v>
      </c>
      <c r="E934" t="s">
        <v>10</v>
      </c>
      <c r="F934" t="s">
        <v>20</v>
      </c>
      <c r="G934" t="s">
        <v>12</v>
      </c>
      <c r="H934" s="10">
        <v>46122.59584490741</v>
      </c>
    </row>
    <row r="935" spans="1:8" x14ac:dyDescent="0.25">
      <c r="A935">
        <v>941</v>
      </c>
      <c r="B935" t="s">
        <v>887</v>
      </c>
      <c r="C935" t="s">
        <v>888</v>
      </c>
      <c r="D935">
        <v>58</v>
      </c>
      <c r="E935" t="s">
        <v>10</v>
      </c>
      <c r="F935" t="s">
        <v>45</v>
      </c>
      <c r="G935" t="s">
        <v>133</v>
      </c>
      <c r="H935" s="10">
        <v>46122.59642361111</v>
      </c>
    </row>
    <row r="936" spans="1:8" x14ac:dyDescent="0.25">
      <c r="A936">
        <v>942</v>
      </c>
      <c r="B936" t="s">
        <v>813</v>
      </c>
      <c r="C936" t="s">
        <v>889</v>
      </c>
      <c r="D936">
        <v>27</v>
      </c>
      <c r="E936" t="s">
        <v>10</v>
      </c>
      <c r="F936" t="s">
        <v>15</v>
      </c>
      <c r="G936" t="s">
        <v>114</v>
      </c>
      <c r="H936" s="10">
        <v>46122.596585648149</v>
      </c>
    </row>
    <row r="937" spans="1:8" x14ac:dyDescent="0.25">
      <c r="A937">
        <v>943</v>
      </c>
      <c r="B937" t="s">
        <v>117</v>
      </c>
      <c r="C937" t="s">
        <v>890</v>
      </c>
      <c r="D937">
        <v>40</v>
      </c>
      <c r="E937" t="s">
        <v>26</v>
      </c>
      <c r="F937" t="s">
        <v>11</v>
      </c>
      <c r="G937" t="s">
        <v>80</v>
      </c>
      <c r="H937" s="10">
        <v>46122.597268518519</v>
      </c>
    </row>
    <row r="938" spans="1:8" x14ac:dyDescent="0.25">
      <c r="A938">
        <v>944</v>
      </c>
      <c r="B938" t="s">
        <v>891</v>
      </c>
      <c r="C938" t="s">
        <v>892</v>
      </c>
      <c r="D938">
        <v>47</v>
      </c>
      <c r="E938" t="s">
        <v>26</v>
      </c>
      <c r="F938" t="s">
        <v>20</v>
      </c>
      <c r="G938" t="s">
        <v>39</v>
      </c>
      <c r="H938" s="10">
        <v>46122.59783564815</v>
      </c>
    </row>
    <row r="939" spans="1:8" x14ac:dyDescent="0.25">
      <c r="A939">
        <v>945</v>
      </c>
      <c r="B939" t="s">
        <v>250</v>
      </c>
      <c r="C939" t="s">
        <v>265</v>
      </c>
      <c r="D939">
        <v>28</v>
      </c>
      <c r="E939" t="s">
        <v>19</v>
      </c>
      <c r="F939" t="s">
        <v>15</v>
      </c>
      <c r="G939" t="s">
        <v>99</v>
      </c>
      <c r="H939" s="10">
        <v>46122.597974537035</v>
      </c>
    </row>
    <row r="940" spans="1:8" x14ac:dyDescent="0.25">
      <c r="A940">
        <v>946</v>
      </c>
      <c r="B940" t="s">
        <v>117</v>
      </c>
      <c r="C940" t="s">
        <v>253</v>
      </c>
      <c r="D940">
        <v>64</v>
      </c>
      <c r="E940" t="s">
        <v>26</v>
      </c>
      <c r="F940" t="s">
        <v>20</v>
      </c>
      <c r="G940" t="s">
        <v>68</v>
      </c>
      <c r="H940" s="10">
        <v>46122.598541666666</v>
      </c>
    </row>
    <row r="941" spans="1:8" x14ac:dyDescent="0.25">
      <c r="A941">
        <v>947</v>
      </c>
      <c r="B941" t="s">
        <v>677</v>
      </c>
      <c r="C941" t="s">
        <v>893</v>
      </c>
      <c r="D941">
        <v>39</v>
      </c>
      <c r="E941" t="s">
        <v>19</v>
      </c>
      <c r="F941" t="s">
        <v>29</v>
      </c>
      <c r="G941" t="s">
        <v>16</v>
      </c>
      <c r="H941" s="10">
        <v>46122.59915509259</v>
      </c>
    </row>
    <row r="942" spans="1:8" x14ac:dyDescent="0.25">
      <c r="A942">
        <v>948</v>
      </c>
      <c r="B942" t="s">
        <v>549</v>
      </c>
      <c r="C942" t="s">
        <v>894</v>
      </c>
      <c r="D942">
        <v>36</v>
      </c>
      <c r="E942" t="s">
        <v>26</v>
      </c>
      <c r="F942" t="s">
        <v>73</v>
      </c>
      <c r="G942" t="s">
        <v>23</v>
      </c>
      <c r="H942" s="10">
        <v>46122.59951388889</v>
      </c>
    </row>
    <row r="943" spans="1:8" x14ac:dyDescent="0.25">
      <c r="A943">
        <v>949</v>
      </c>
      <c r="B943" t="s">
        <v>78</v>
      </c>
      <c r="C943" t="s">
        <v>811</v>
      </c>
      <c r="D943">
        <v>54</v>
      </c>
      <c r="E943" t="s">
        <v>19</v>
      </c>
      <c r="F943" t="s">
        <v>15</v>
      </c>
      <c r="G943" t="s">
        <v>23</v>
      </c>
      <c r="H943" s="10">
        <v>46122.599652777775</v>
      </c>
    </row>
    <row r="944" spans="1:8" x14ac:dyDescent="0.25">
      <c r="A944">
        <v>950</v>
      </c>
      <c r="B944" t="s">
        <v>672</v>
      </c>
      <c r="C944" t="s">
        <v>406</v>
      </c>
      <c r="D944">
        <v>39</v>
      </c>
      <c r="E944" t="s">
        <v>10</v>
      </c>
      <c r="F944" t="s">
        <v>29</v>
      </c>
      <c r="G944" t="s">
        <v>42</v>
      </c>
      <c r="H944" s="10">
        <v>46122.599768518521</v>
      </c>
    </row>
    <row r="945" spans="1:8" x14ac:dyDescent="0.25">
      <c r="A945">
        <v>951</v>
      </c>
      <c r="B945" t="s">
        <v>92</v>
      </c>
      <c r="C945" t="s">
        <v>244</v>
      </c>
      <c r="D945">
        <v>19</v>
      </c>
      <c r="E945" t="s">
        <v>19</v>
      </c>
      <c r="F945" t="s">
        <v>11</v>
      </c>
      <c r="G945" t="s">
        <v>39</v>
      </c>
      <c r="H945" s="10">
        <v>46122.600289351853</v>
      </c>
    </row>
    <row r="946" spans="1:8" x14ac:dyDescent="0.25">
      <c r="A946">
        <v>952</v>
      </c>
      <c r="B946" t="s">
        <v>521</v>
      </c>
      <c r="C946" t="s">
        <v>472</v>
      </c>
      <c r="D946">
        <v>24</v>
      </c>
      <c r="E946" t="s">
        <v>10</v>
      </c>
      <c r="F946" t="s">
        <v>11</v>
      </c>
      <c r="G946" t="s">
        <v>99</v>
      </c>
      <c r="H946" s="10">
        <v>46122.600671296299</v>
      </c>
    </row>
    <row r="947" spans="1:8" x14ac:dyDescent="0.25">
      <c r="A947">
        <v>953</v>
      </c>
      <c r="B947" t="s">
        <v>62</v>
      </c>
      <c r="C947" t="s">
        <v>895</v>
      </c>
      <c r="D947">
        <v>24</v>
      </c>
      <c r="E947" t="s">
        <v>10</v>
      </c>
      <c r="F947" t="s">
        <v>11</v>
      </c>
      <c r="G947" t="s">
        <v>99</v>
      </c>
      <c r="H947" s="10">
        <v>46122.601354166669</v>
      </c>
    </row>
    <row r="948" spans="1:8" x14ac:dyDescent="0.25">
      <c r="A948">
        <v>954</v>
      </c>
      <c r="B948" t="s">
        <v>190</v>
      </c>
      <c r="C948" t="s">
        <v>434</v>
      </c>
      <c r="D948">
        <v>39</v>
      </c>
      <c r="E948" t="s">
        <v>26</v>
      </c>
      <c r="F948" t="s">
        <v>45</v>
      </c>
      <c r="G948" t="s">
        <v>57</v>
      </c>
      <c r="H948" s="10">
        <v>46122.601597222223</v>
      </c>
    </row>
    <row r="949" spans="1:8" x14ac:dyDescent="0.25">
      <c r="A949">
        <v>955</v>
      </c>
      <c r="B949" t="s">
        <v>549</v>
      </c>
      <c r="C949" t="s">
        <v>896</v>
      </c>
      <c r="D949">
        <v>35</v>
      </c>
      <c r="E949" t="s">
        <v>10</v>
      </c>
      <c r="F949" t="s">
        <v>29</v>
      </c>
      <c r="G949" t="s">
        <v>12</v>
      </c>
      <c r="H949" s="10">
        <v>46122.601817129631</v>
      </c>
    </row>
    <row r="950" spans="1:8" x14ac:dyDescent="0.25">
      <c r="A950">
        <v>956</v>
      </c>
      <c r="B950" t="s">
        <v>520</v>
      </c>
      <c r="C950" t="s">
        <v>897</v>
      </c>
      <c r="D950">
        <v>55</v>
      </c>
      <c r="E950" t="s">
        <v>26</v>
      </c>
      <c r="F950" t="s">
        <v>73</v>
      </c>
      <c r="G950" t="s">
        <v>54</v>
      </c>
      <c r="H950" s="10">
        <v>46122.602418981478</v>
      </c>
    </row>
    <row r="951" spans="1:8" x14ac:dyDescent="0.25">
      <c r="A951">
        <v>957</v>
      </c>
      <c r="B951" t="s">
        <v>898</v>
      </c>
      <c r="C951" t="s">
        <v>145</v>
      </c>
      <c r="D951">
        <v>31</v>
      </c>
      <c r="E951" t="s">
        <v>19</v>
      </c>
      <c r="F951" t="s">
        <v>45</v>
      </c>
      <c r="G951" t="s">
        <v>57</v>
      </c>
      <c r="H951" s="10">
        <v>46122.602685185186</v>
      </c>
    </row>
    <row r="952" spans="1:8" x14ac:dyDescent="0.25">
      <c r="A952">
        <v>958</v>
      </c>
      <c r="B952" t="s">
        <v>34</v>
      </c>
      <c r="C952" t="s">
        <v>470</v>
      </c>
      <c r="D952">
        <v>57</v>
      </c>
      <c r="E952" t="s">
        <v>19</v>
      </c>
      <c r="F952" t="s">
        <v>11</v>
      </c>
      <c r="G952" t="s">
        <v>16</v>
      </c>
      <c r="H952" s="10">
        <v>46122.602997685186</v>
      </c>
    </row>
    <row r="953" spans="1:8" x14ac:dyDescent="0.25">
      <c r="A953">
        <v>959</v>
      </c>
      <c r="B953" t="s">
        <v>52</v>
      </c>
      <c r="C953" t="s">
        <v>379</v>
      </c>
      <c r="D953">
        <v>27</v>
      </c>
      <c r="E953" t="s">
        <v>10</v>
      </c>
      <c r="F953" t="s">
        <v>20</v>
      </c>
      <c r="G953" t="s">
        <v>51</v>
      </c>
      <c r="H953" s="10">
        <v>46122.603368055556</v>
      </c>
    </row>
    <row r="954" spans="1:8" x14ac:dyDescent="0.25">
      <c r="A954">
        <v>960</v>
      </c>
      <c r="B954" t="s">
        <v>362</v>
      </c>
      <c r="C954" t="s">
        <v>899</v>
      </c>
      <c r="D954">
        <v>22</v>
      </c>
      <c r="E954" t="s">
        <v>19</v>
      </c>
      <c r="F954" t="s">
        <v>45</v>
      </c>
      <c r="G954" t="s">
        <v>114</v>
      </c>
      <c r="H954" s="10">
        <v>46122.604027777779</v>
      </c>
    </row>
    <row r="955" spans="1:8" x14ac:dyDescent="0.25">
      <c r="A955">
        <v>961</v>
      </c>
      <c r="B955" t="s">
        <v>78</v>
      </c>
      <c r="C955" t="s">
        <v>304</v>
      </c>
      <c r="D955">
        <v>40</v>
      </c>
      <c r="E955" t="s">
        <v>19</v>
      </c>
      <c r="F955" t="s">
        <v>15</v>
      </c>
      <c r="G955" t="s">
        <v>12</v>
      </c>
      <c r="H955" s="10">
        <v>46122.604618055557</v>
      </c>
    </row>
    <row r="956" spans="1:8" x14ac:dyDescent="0.25">
      <c r="A956">
        <v>962</v>
      </c>
      <c r="B956" t="s">
        <v>484</v>
      </c>
      <c r="C956" t="s">
        <v>595</v>
      </c>
      <c r="D956">
        <v>49</v>
      </c>
      <c r="E956" t="s">
        <v>26</v>
      </c>
      <c r="F956" t="s">
        <v>73</v>
      </c>
      <c r="G956" t="s">
        <v>99</v>
      </c>
      <c r="H956" s="10">
        <v>46122.604826388888</v>
      </c>
    </row>
    <row r="957" spans="1:8" x14ac:dyDescent="0.25">
      <c r="A957">
        <v>963</v>
      </c>
      <c r="B957" t="s">
        <v>305</v>
      </c>
      <c r="C957" t="s">
        <v>475</v>
      </c>
      <c r="D957">
        <v>61</v>
      </c>
      <c r="E957" t="s">
        <v>26</v>
      </c>
      <c r="F957" t="s">
        <v>15</v>
      </c>
      <c r="G957" t="s">
        <v>76</v>
      </c>
      <c r="H957" s="10">
        <v>46122.605196759258</v>
      </c>
    </row>
    <row r="958" spans="1:8" x14ac:dyDescent="0.25">
      <c r="A958">
        <v>964</v>
      </c>
      <c r="B958" t="s">
        <v>78</v>
      </c>
      <c r="C958" t="s">
        <v>18</v>
      </c>
      <c r="D958">
        <v>39</v>
      </c>
      <c r="E958" t="s">
        <v>10</v>
      </c>
      <c r="F958" t="s">
        <v>29</v>
      </c>
      <c r="G958" t="s">
        <v>114</v>
      </c>
      <c r="H958" s="10">
        <v>46122.605798611112</v>
      </c>
    </row>
    <row r="959" spans="1:8" x14ac:dyDescent="0.25">
      <c r="A959">
        <v>965</v>
      </c>
      <c r="B959" t="s">
        <v>262</v>
      </c>
      <c r="C959" t="s">
        <v>900</v>
      </c>
      <c r="D959">
        <v>31</v>
      </c>
      <c r="E959" t="s">
        <v>19</v>
      </c>
      <c r="F959" t="s">
        <v>20</v>
      </c>
      <c r="G959" t="s">
        <v>68</v>
      </c>
      <c r="H959" s="10">
        <v>46122.60597222222</v>
      </c>
    </row>
    <row r="960" spans="1:8" x14ac:dyDescent="0.25">
      <c r="A960">
        <v>966</v>
      </c>
      <c r="B960" t="s">
        <v>104</v>
      </c>
      <c r="C960" t="s">
        <v>901</v>
      </c>
      <c r="D960">
        <v>26</v>
      </c>
      <c r="E960" t="s">
        <v>26</v>
      </c>
      <c r="F960" t="s">
        <v>73</v>
      </c>
      <c r="G960" t="s">
        <v>65</v>
      </c>
      <c r="H960" s="10">
        <v>46122.60664351852</v>
      </c>
    </row>
    <row r="961" spans="1:8" x14ac:dyDescent="0.25">
      <c r="A961">
        <v>967</v>
      </c>
      <c r="B961" t="s">
        <v>401</v>
      </c>
      <c r="C961" t="s">
        <v>124</v>
      </c>
      <c r="D961">
        <v>70</v>
      </c>
      <c r="E961" t="s">
        <v>19</v>
      </c>
      <c r="F961" t="s">
        <v>29</v>
      </c>
      <c r="G961" t="s">
        <v>46</v>
      </c>
      <c r="H961" s="10">
        <v>46122.607222222221</v>
      </c>
    </row>
    <row r="962" spans="1:8" x14ac:dyDescent="0.25">
      <c r="A962">
        <v>968</v>
      </c>
      <c r="B962" t="s">
        <v>589</v>
      </c>
      <c r="C962" t="s">
        <v>902</v>
      </c>
      <c r="D962">
        <v>48</v>
      </c>
      <c r="E962" t="s">
        <v>26</v>
      </c>
      <c r="F962" t="s">
        <v>45</v>
      </c>
      <c r="G962" t="s">
        <v>39</v>
      </c>
      <c r="H962" s="10">
        <v>46122.607893518521</v>
      </c>
    </row>
    <row r="963" spans="1:8" x14ac:dyDescent="0.25">
      <c r="A963">
        <v>969</v>
      </c>
      <c r="B963" t="s">
        <v>672</v>
      </c>
      <c r="C963" t="s">
        <v>77</v>
      </c>
      <c r="D963">
        <v>62</v>
      </c>
      <c r="E963" t="s">
        <v>19</v>
      </c>
      <c r="F963" t="s">
        <v>33</v>
      </c>
      <c r="G963" t="s">
        <v>36</v>
      </c>
      <c r="H963" s="10">
        <v>46122.60837962963</v>
      </c>
    </row>
    <row r="964" spans="1:8" x14ac:dyDescent="0.25">
      <c r="A964">
        <v>970</v>
      </c>
      <c r="B964" t="s">
        <v>242</v>
      </c>
      <c r="C964" t="s">
        <v>244</v>
      </c>
      <c r="D964">
        <v>24</v>
      </c>
      <c r="E964" t="s">
        <v>10</v>
      </c>
      <c r="F964" t="s">
        <v>20</v>
      </c>
      <c r="G964" t="s">
        <v>54</v>
      </c>
      <c r="H964" s="10">
        <v>46122.608541666668</v>
      </c>
    </row>
    <row r="965" spans="1:8" x14ac:dyDescent="0.25">
      <c r="A965">
        <v>971</v>
      </c>
      <c r="B965" t="s">
        <v>818</v>
      </c>
      <c r="C965" t="s">
        <v>250</v>
      </c>
      <c r="D965">
        <v>27</v>
      </c>
      <c r="E965" t="s">
        <v>26</v>
      </c>
      <c r="F965" t="s">
        <v>11</v>
      </c>
      <c r="G965" t="s">
        <v>12</v>
      </c>
      <c r="H965" s="10">
        <v>46122.608796296299</v>
      </c>
    </row>
    <row r="966" spans="1:8" x14ac:dyDescent="0.25">
      <c r="A966">
        <v>972</v>
      </c>
      <c r="B966" t="s">
        <v>818</v>
      </c>
      <c r="C966" t="s">
        <v>79</v>
      </c>
      <c r="D966">
        <v>30</v>
      </c>
      <c r="E966" t="s">
        <v>19</v>
      </c>
      <c r="F966" t="s">
        <v>15</v>
      </c>
      <c r="G966" t="s">
        <v>57</v>
      </c>
      <c r="H966" s="10">
        <v>46122.609490740739</v>
      </c>
    </row>
    <row r="967" spans="1:8" x14ac:dyDescent="0.25">
      <c r="A967">
        <v>973</v>
      </c>
      <c r="B967" t="s">
        <v>837</v>
      </c>
      <c r="C967" t="s">
        <v>903</v>
      </c>
      <c r="D967">
        <v>59</v>
      </c>
      <c r="E967" t="s">
        <v>19</v>
      </c>
      <c r="F967" t="s">
        <v>11</v>
      </c>
      <c r="G967" t="s">
        <v>46</v>
      </c>
      <c r="H967" s="10">
        <v>46122.61</v>
      </c>
    </row>
    <row r="968" spans="1:8" x14ac:dyDescent="0.25">
      <c r="A968">
        <v>974</v>
      </c>
      <c r="B968" t="s">
        <v>97</v>
      </c>
      <c r="C968" t="s">
        <v>299</v>
      </c>
      <c r="D968">
        <v>28</v>
      </c>
      <c r="E968" t="s">
        <v>26</v>
      </c>
      <c r="F968" t="s">
        <v>11</v>
      </c>
      <c r="G968" t="s">
        <v>54</v>
      </c>
      <c r="H968" s="10">
        <v>46122.610393518517</v>
      </c>
    </row>
    <row r="969" spans="1:8" x14ac:dyDescent="0.25">
      <c r="A969">
        <v>975</v>
      </c>
      <c r="B969" t="s">
        <v>571</v>
      </c>
      <c r="C969" t="s">
        <v>368</v>
      </c>
      <c r="D969">
        <v>59</v>
      </c>
      <c r="E969" t="s">
        <v>26</v>
      </c>
      <c r="F969" t="s">
        <v>20</v>
      </c>
      <c r="G969" t="s">
        <v>65</v>
      </c>
      <c r="H969" s="10">
        <v>46122.610983796294</v>
      </c>
    </row>
    <row r="970" spans="1:8" x14ac:dyDescent="0.25">
      <c r="A970">
        <v>976</v>
      </c>
      <c r="B970" t="s">
        <v>527</v>
      </c>
      <c r="C970" t="s">
        <v>176</v>
      </c>
      <c r="D970">
        <v>33</v>
      </c>
      <c r="E970" t="s">
        <v>26</v>
      </c>
      <c r="F970" t="s">
        <v>20</v>
      </c>
      <c r="G970" t="s">
        <v>76</v>
      </c>
      <c r="H970" s="10">
        <v>46122.611574074072</v>
      </c>
    </row>
    <row r="971" spans="1:8" x14ac:dyDescent="0.25">
      <c r="A971">
        <v>977</v>
      </c>
      <c r="B971" t="s">
        <v>270</v>
      </c>
      <c r="C971" t="s">
        <v>352</v>
      </c>
      <c r="D971">
        <v>35</v>
      </c>
      <c r="E971" t="s">
        <v>19</v>
      </c>
      <c r="F971" t="s">
        <v>73</v>
      </c>
      <c r="G971" t="s">
        <v>68</v>
      </c>
      <c r="H971" s="10">
        <v>46122.612268518518</v>
      </c>
    </row>
    <row r="972" spans="1:8" x14ac:dyDescent="0.25">
      <c r="A972">
        <v>978</v>
      </c>
      <c r="B972" t="s">
        <v>904</v>
      </c>
      <c r="C972" t="s">
        <v>905</v>
      </c>
      <c r="D972">
        <v>57</v>
      </c>
      <c r="E972" t="s">
        <v>19</v>
      </c>
      <c r="F972" t="s">
        <v>45</v>
      </c>
      <c r="G972" t="s">
        <v>57</v>
      </c>
      <c r="H972" s="10">
        <v>46122.612847222219</v>
      </c>
    </row>
    <row r="973" spans="1:8" x14ac:dyDescent="0.25">
      <c r="A973">
        <v>979</v>
      </c>
      <c r="B973" t="s">
        <v>906</v>
      </c>
      <c r="C973" t="s">
        <v>905</v>
      </c>
      <c r="D973">
        <v>65</v>
      </c>
      <c r="E973" t="s">
        <v>10</v>
      </c>
      <c r="F973" t="s">
        <v>33</v>
      </c>
      <c r="G973" t="s">
        <v>30</v>
      </c>
      <c r="H973" s="10">
        <v>46122.613391203704</v>
      </c>
    </row>
    <row r="974" spans="1:8" x14ac:dyDescent="0.25">
      <c r="A974">
        <v>980</v>
      </c>
      <c r="B974" t="s">
        <v>630</v>
      </c>
      <c r="C974" t="s">
        <v>150</v>
      </c>
      <c r="D974">
        <v>26</v>
      </c>
      <c r="E974" t="s">
        <v>19</v>
      </c>
      <c r="F974" t="s">
        <v>11</v>
      </c>
      <c r="G974" t="s">
        <v>46</v>
      </c>
      <c r="H974" s="10">
        <v>46122.613807870373</v>
      </c>
    </row>
    <row r="975" spans="1:8" x14ac:dyDescent="0.25">
      <c r="A975">
        <v>981</v>
      </c>
      <c r="B975" t="s">
        <v>507</v>
      </c>
      <c r="C975" t="s">
        <v>907</v>
      </c>
      <c r="D975">
        <v>49</v>
      </c>
      <c r="E975" t="s">
        <v>19</v>
      </c>
      <c r="F975" t="s">
        <v>15</v>
      </c>
      <c r="G975" t="s">
        <v>76</v>
      </c>
      <c r="H975" s="10">
        <v>46122.61440972222</v>
      </c>
    </row>
    <row r="976" spans="1:8" x14ac:dyDescent="0.25">
      <c r="A976">
        <v>982</v>
      </c>
      <c r="B976" t="s">
        <v>908</v>
      </c>
      <c r="C976" t="s">
        <v>760</v>
      </c>
      <c r="D976">
        <v>36</v>
      </c>
      <c r="E976" t="s">
        <v>26</v>
      </c>
      <c r="F976" t="s">
        <v>45</v>
      </c>
      <c r="G976" t="s">
        <v>57</v>
      </c>
      <c r="H976" s="10">
        <v>46122.614525462966</v>
      </c>
    </row>
    <row r="977" spans="1:8" x14ac:dyDescent="0.25">
      <c r="A977">
        <v>983</v>
      </c>
      <c r="B977" t="s">
        <v>92</v>
      </c>
      <c r="C977" t="s">
        <v>60</v>
      </c>
      <c r="D977">
        <v>28</v>
      </c>
      <c r="E977" t="s">
        <v>10</v>
      </c>
      <c r="F977" t="s">
        <v>45</v>
      </c>
      <c r="G977" t="s">
        <v>51</v>
      </c>
      <c r="H977" s="10">
        <v>46122.615115740744</v>
      </c>
    </row>
    <row r="978" spans="1:8" x14ac:dyDescent="0.25">
      <c r="A978">
        <v>984</v>
      </c>
      <c r="B978" t="s">
        <v>74</v>
      </c>
      <c r="C978" t="s">
        <v>909</v>
      </c>
      <c r="D978">
        <v>55</v>
      </c>
      <c r="E978" t="s">
        <v>19</v>
      </c>
      <c r="F978" t="s">
        <v>73</v>
      </c>
      <c r="G978" t="s">
        <v>30</v>
      </c>
      <c r="H978" s="10">
        <v>46122.615243055552</v>
      </c>
    </row>
    <row r="979" spans="1:8" x14ac:dyDescent="0.25">
      <c r="A979">
        <v>985</v>
      </c>
      <c r="B979" t="s">
        <v>157</v>
      </c>
      <c r="C979" t="s">
        <v>139</v>
      </c>
      <c r="D979">
        <v>51</v>
      </c>
      <c r="E979" t="s">
        <v>10</v>
      </c>
      <c r="F979" t="s">
        <v>73</v>
      </c>
      <c r="G979" t="s">
        <v>65</v>
      </c>
      <c r="H979" s="10">
        <v>46122.615567129629</v>
      </c>
    </row>
    <row r="980" spans="1:8" x14ac:dyDescent="0.25">
      <c r="A980">
        <v>986</v>
      </c>
      <c r="B980" t="s">
        <v>908</v>
      </c>
      <c r="C980" t="s">
        <v>638</v>
      </c>
      <c r="D980">
        <v>26</v>
      </c>
      <c r="E980" t="s">
        <v>19</v>
      </c>
      <c r="F980" t="s">
        <v>45</v>
      </c>
      <c r="G980" t="s">
        <v>46</v>
      </c>
      <c r="H980" s="10">
        <v>46122.615694444445</v>
      </c>
    </row>
    <row r="981" spans="1:8" x14ac:dyDescent="0.25">
      <c r="A981">
        <v>987</v>
      </c>
      <c r="B981" t="s">
        <v>258</v>
      </c>
      <c r="C981" t="s">
        <v>910</v>
      </c>
      <c r="D981">
        <v>33</v>
      </c>
      <c r="E981" t="s">
        <v>19</v>
      </c>
      <c r="F981" t="s">
        <v>11</v>
      </c>
      <c r="G981" t="s">
        <v>68</v>
      </c>
      <c r="H981" s="10">
        <v>46122.616006944445</v>
      </c>
    </row>
    <row r="982" spans="1:8" x14ac:dyDescent="0.25">
      <c r="A982">
        <v>988</v>
      </c>
      <c r="B982" t="s">
        <v>765</v>
      </c>
      <c r="C982" t="s">
        <v>911</v>
      </c>
      <c r="D982">
        <v>39</v>
      </c>
      <c r="E982" t="s">
        <v>26</v>
      </c>
      <c r="F982" t="s">
        <v>45</v>
      </c>
      <c r="G982" t="s">
        <v>39</v>
      </c>
      <c r="H982" s="10">
        <v>46122.616400462961</v>
      </c>
    </row>
    <row r="983" spans="1:8" x14ac:dyDescent="0.25">
      <c r="A983">
        <v>989</v>
      </c>
      <c r="B983" t="s">
        <v>194</v>
      </c>
      <c r="C983" t="s">
        <v>739</v>
      </c>
      <c r="D983">
        <v>64</v>
      </c>
      <c r="E983" t="s">
        <v>10</v>
      </c>
      <c r="F983" t="s">
        <v>11</v>
      </c>
      <c r="G983" t="s">
        <v>16</v>
      </c>
      <c r="H983" s="10">
        <v>46122.617037037038</v>
      </c>
    </row>
    <row r="984" spans="1:8" x14ac:dyDescent="0.25">
      <c r="A984">
        <v>990</v>
      </c>
      <c r="B984" t="s">
        <v>106</v>
      </c>
      <c r="C984" t="s">
        <v>135</v>
      </c>
      <c r="D984">
        <v>51</v>
      </c>
      <c r="E984" t="s">
        <v>10</v>
      </c>
      <c r="F984" t="s">
        <v>11</v>
      </c>
      <c r="G984" t="s">
        <v>23</v>
      </c>
      <c r="H984" s="10">
        <v>46122.617592592593</v>
      </c>
    </row>
    <row r="985" spans="1:8" x14ac:dyDescent="0.25">
      <c r="A985">
        <v>991</v>
      </c>
      <c r="B985" t="s">
        <v>84</v>
      </c>
      <c r="C985" t="s">
        <v>244</v>
      </c>
      <c r="D985">
        <v>51</v>
      </c>
      <c r="E985" t="s">
        <v>10</v>
      </c>
      <c r="F985" t="s">
        <v>15</v>
      </c>
      <c r="G985" t="s">
        <v>65</v>
      </c>
      <c r="H985" s="10">
        <v>46122.617997685185</v>
      </c>
    </row>
    <row r="986" spans="1:8" x14ac:dyDescent="0.25">
      <c r="A986">
        <v>992</v>
      </c>
      <c r="B986" t="s">
        <v>759</v>
      </c>
      <c r="C986" t="s">
        <v>620</v>
      </c>
      <c r="D986">
        <v>53</v>
      </c>
      <c r="E986" t="s">
        <v>10</v>
      </c>
      <c r="F986" t="s">
        <v>73</v>
      </c>
      <c r="G986" t="s">
        <v>57</v>
      </c>
      <c r="H986" s="10">
        <v>46122.618622685186</v>
      </c>
    </row>
    <row r="987" spans="1:8" x14ac:dyDescent="0.25">
      <c r="A987">
        <v>993</v>
      </c>
      <c r="B987" t="s">
        <v>474</v>
      </c>
      <c r="C987" t="s">
        <v>87</v>
      </c>
      <c r="D987">
        <v>57</v>
      </c>
      <c r="E987" t="s">
        <v>10</v>
      </c>
      <c r="F987" t="s">
        <v>15</v>
      </c>
      <c r="G987" t="s">
        <v>39</v>
      </c>
      <c r="H987" s="10">
        <v>46122.618935185186</v>
      </c>
    </row>
    <row r="988" spans="1:8" x14ac:dyDescent="0.25">
      <c r="A988">
        <v>994</v>
      </c>
      <c r="B988" t="s">
        <v>78</v>
      </c>
      <c r="C988" t="s">
        <v>447</v>
      </c>
      <c r="D988">
        <v>27</v>
      </c>
      <c r="E988" t="s">
        <v>19</v>
      </c>
      <c r="F988" t="s">
        <v>20</v>
      </c>
      <c r="G988" t="s">
        <v>80</v>
      </c>
      <c r="H988" s="10">
        <v>46122.61923611111</v>
      </c>
    </row>
    <row r="989" spans="1:8" x14ac:dyDescent="0.25">
      <c r="A989">
        <v>995</v>
      </c>
      <c r="B989" t="s">
        <v>258</v>
      </c>
      <c r="C989" t="s">
        <v>348</v>
      </c>
      <c r="D989">
        <v>48</v>
      </c>
      <c r="E989" t="s">
        <v>19</v>
      </c>
      <c r="F989" t="s">
        <v>29</v>
      </c>
      <c r="G989" t="s">
        <v>39</v>
      </c>
      <c r="H989" s="10">
        <v>46122.619502314818</v>
      </c>
    </row>
    <row r="990" spans="1:8" x14ac:dyDescent="0.25">
      <c r="A990">
        <v>996</v>
      </c>
      <c r="B990" t="s">
        <v>223</v>
      </c>
      <c r="C990" t="s">
        <v>363</v>
      </c>
      <c r="D990">
        <v>26</v>
      </c>
      <c r="E990" t="s">
        <v>10</v>
      </c>
      <c r="F990" t="s">
        <v>15</v>
      </c>
      <c r="G990" t="s">
        <v>70</v>
      </c>
      <c r="H990" s="10">
        <v>46122.619826388887</v>
      </c>
    </row>
    <row r="991" spans="1:8" x14ac:dyDescent="0.25">
      <c r="A991">
        <v>997</v>
      </c>
      <c r="B991" t="s">
        <v>912</v>
      </c>
      <c r="C991" t="s">
        <v>572</v>
      </c>
      <c r="D991">
        <v>18</v>
      </c>
      <c r="E991" t="s">
        <v>26</v>
      </c>
      <c r="F991" t="s">
        <v>20</v>
      </c>
      <c r="G991" t="s">
        <v>51</v>
      </c>
      <c r="H991" s="10">
        <v>46122.620439814818</v>
      </c>
    </row>
    <row r="992" spans="1:8" x14ac:dyDescent="0.25">
      <c r="A992">
        <v>998</v>
      </c>
      <c r="B992" t="s">
        <v>206</v>
      </c>
      <c r="C992" t="s">
        <v>82</v>
      </c>
      <c r="D992">
        <v>36</v>
      </c>
      <c r="E992" t="s">
        <v>19</v>
      </c>
      <c r="F992" t="s">
        <v>29</v>
      </c>
      <c r="G992" t="s">
        <v>16</v>
      </c>
      <c r="H992" s="10">
        <v>46122.62060185185</v>
      </c>
    </row>
    <row r="993" spans="1:8" x14ac:dyDescent="0.25">
      <c r="A993">
        <v>999</v>
      </c>
      <c r="B993" t="s">
        <v>318</v>
      </c>
      <c r="C993" t="s">
        <v>82</v>
      </c>
      <c r="D993">
        <v>39</v>
      </c>
      <c r="E993" t="s">
        <v>26</v>
      </c>
      <c r="F993" t="s">
        <v>73</v>
      </c>
      <c r="G993" t="s">
        <v>30</v>
      </c>
      <c r="H993" s="10">
        <v>46122.621006944442</v>
      </c>
    </row>
    <row r="994" spans="1:8" x14ac:dyDescent="0.25">
      <c r="A994">
        <v>1000</v>
      </c>
      <c r="B994" t="s">
        <v>601</v>
      </c>
      <c r="C994" t="s">
        <v>177</v>
      </c>
      <c r="D994">
        <v>21</v>
      </c>
      <c r="E994" t="s">
        <v>19</v>
      </c>
      <c r="F994" t="s">
        <v>11</v>
      </c>
      <c r="G994" t="s">
        <v>68</v>
      </c>
      <c r="H994" s="10">
        <v>46122.62122685185</v>
      </c>
    </row>
    <row r="995" spans="1:8" x14ac:dyDescent="0.25">
      <c r="A995">
        <v>1001</v>
      </c>
      <c r="B995" t="s">
        <v>174</v>
      </c>
      <c r="C995" t="s">
        <v>194</v>
      </c>
      <c r="D995">
        <v>46</v>
      </c>
      <c r="E995" t="s">
        <v>19</v>
      </c>
      <c r="F995" t="s">
        <v>29</v>
      </c>
      <c r="G995" t="s">
        <v>130</v>
      </c>
      <c r="H995" s="10">
        <v>46122.621655092589</v>
      </c>
    </row>
    <row r="996" spans="1:8" x14ac:dyDescent="0.25">
      <c r="A996">
        <v>1002</v>
      </c>
      <c r="B996" t="s">
        <v>58</v>
      </c>
      <c r="C996" t="s">
        <v>451</v>
      </c>
      <c r="D996">
        <v>65</v>
      </c>
      <c r="E996" t="s">
        <v>10</v>
      </c>
      <c r="F996" t="s">
        <v>45</v>
      </c>
      <c r="G996" t="s">
        <v>54</v>
      </c>
      <c r="H996" s="10">
        <v>46122.622233796297</v>
      </c>
    </row>
    <row r="997" spans="1:8" x14ac:dyDescent="0.25">
      <c r="A997">
        <v>1003</v>
      </c>
      <c r="B997" t="s">
        <v>726</v>
      </c>
      <c r="C997" t="s">
        <v>877</v>
      </c>
      <c r="D997">
        <v>24</v>
      </c>
      <c r="E997" t="s">
        <v>10</v>
      </c>
      <c r="F997" t="s">
        <v>11</v>
      </c>
      <c r="G997" t="s">
        <v>99</v>
      </c>
      <c r="H997" s="10">
        <v>46122.622499999998</v>
      </c>
    </row>
    <row r="998" spans="1:8" x14ac:dyDescent="0.25">
      <c r="A998">
        <v>1004</v>
      </c>
      <c r="B998" t="s">
        <v>78</v>
      </c>
      <c r="C998" t="s">
        <v>913</v>
      </c>
      <c r="D998">
        <v>56</v>
      </c>
      <c r="E998" t="s">
        <v>26</v>
      </c>
      <c r="F998" t="s">
        <v>73</v>
      </c>
      <c r="G998" t="s">
        <v>42</v>
      </c>
      <c r="H998" s="10">
        <v>46122.622731481482</v>
      </c>
    </row>
    <row r="999" spans="1:8" x14ac:dyDescent="0.25">
      <c r="A999">
        <v>1005</v>
      </c>
      <c r="B999" t="s">
        <v>78</v>
      </c>
      <c r="C999" t="s">
        <v>914</v>
      </c>
      <c r="D999">
        <v>49</v>
      </c>
      <c r="E999" t="s">
        <v>26</v>
      </c>
      <c r="F999" t="s">
        <v>15</v>
      </c>
      <c r="G999" t="s">
        <v>30</v>
      </c>
      <c r="H999" s="10">
        <v>46122.623391203706</v>
      </c>
    </row>
    <row r="1000" spans="1:8" x14ac:dyDescent="0.25">
      <c r="A1000">
        <v>1006</v>
      </c>
      <c r="B1000" t="s">
        <v>138</v>
      </c>
      <c r="C1000" t="s">
        <v>695</v>
      </c>
      <c r="D1000">
        <v>23</v>
      </c>
      <c r="E1000" t="s">
        <v>26</v>
      </c>
      <c r="F1000" t="s">
        <v>29</v>
      </c>
      <c r="G1000" t="s">
        <v>23</v>
      </c>
      <c r="H1000" s="10">
        <v>46122.623749999999</v>
      </c>
    </row>
    <row r="1001" spans="1:8" x14ac:dyDescent="0.25">
      <c r="A1001">
        <v>1007</v>
      </c>
      <c r="B1001" t="s">
        <v>411</v>
      </c>
      <c r="C1001" t="s">
        <v>623</v>
      </c>
      <c r="D1001">
        <v>31</v>
      </c>
      <c r="E1001" t="s">
        <v>26</v>
      </c>
      <c r="F1001" t="s">
        <v>45</v>
      </c>
      <c r="G1001" t="s">
        <v>12</v>
      </c>
      <c r="H1001" s="10">
        <v>46122.624374999999</v>
      </c>
    </row>
    <row r="1002" spans="1:8" x14ac:dyDescent="0.25">
      <c r="A1002">
        <v>1008</v>
      </c>
      <c r="B1002" t="s">
        <v>194</v>
      </c>
      <c r="C1002" t="s">
        <v>916</v>
      </c>
      <c r="D1002">
        <v>69</v>
      </c>
      <c r="E1002" t="s">
        <v>26</v>
      </c>
      <c r="F1002" t="s">
        <v>33</v>
      </c>
      <c r="G1002" t="s">
        <v>42</v>
      </c>
      <c r="H1002" s="10">
        <v>46124.491979166669</v>
      </c>
    </row>
    <row r="1003" spans="1:8" x14ac:dyDescent="0.25">
      <c r="A1003">
        <v>1009</v>
      </c>
      <c r="B1003" t="s">
        <v>632</v>
      </c>
      <c r="C1003" t="s">
        <v>452</v>
      </c>
      <c r="D1003">
        <v>47</v>
      </c>
      <c r="E1003" t="s">
        <v>10</v>
      </c>
      <c r="F1003" t="s">
        <v>20</v>
      </c>
      <c r="G1003" t="s">
        <v>46</v>
      </c>
      <c r="H1003" s="10">
        <v>46124.492476851854</v>
      </c>
    </row>
    <row r="1004" spans="1:8" x14ac:dyDescent="0.25">
      <c r="A1004">
        <v>1010</v>
      </c>
      <c r="B1004" t="s">
        <v>282</v>
      </c>
      <c r="C1004" t="s">
        <v>123</v>
      </c>
      <c r="D1004">
        <v>18</v>
      </c>
      <c r="E1004" t="s">
        <v>19</v>
      </c>
      <c r="F1004" t="s">
        <v>45</v>
      </c>
      <c r="G1004" t="s">
        <v>65</v>
      </c>
      <c r="H1004" s="10">
        <v>46124.492604166669</v>
      </c>
    </row>
    <row r="1005" spans="1:8" x14ac:dyDescent="0.25">
      <c r="A1005">
        <v>1011</v>
      </c>
      <c r="B1005" t="s">
        <v>601</v>
      </c>
      <c r="C1005" t="s">
        <v>161</v>
      </c>
      <c r="D1005">
        <v>67</v>
      </c>
      <c r="E1005" t="s">
        <v>19</v>
      </c>
      <c r="F1005" t="s">
        <v>11</v>
      </c>
      <c r="G1005" t="s">
        <v>23</v>
      </c>
      <c r="H1005" s="10">
        <v>46124.492789351854</v>
      </c>
    </row>
    <row r="1006" spans="1:8" x14ac:dyDescent="0.25">
      <c r="A1006">
        <v>1012</v>
      </c>
      <c r="B1006" t="s">
        <v>260</v>
      </c>
      <c r="C1006" t="s">
        <v>917</v>
      </c>
      <c r="D1006">
        <v>42</v>
      </c>
      <c r="E1006" t="s">
        <v>19</v>
      </c>
      <c r="F1006" t="s">
        <v>20</v>
      </c>
      <c r="G1006" t="s">
        <v>30</v>
      </c>
      <c r="H1006" s="10">
        <v>46124.493437500001</v>
      </c>
    </row>
    <row r="1007" spans="1:8" x14ac:dyDescent="0.25">
      <c r="A1007">
        <v>1013</v>
      </c>
      <c r="B1007" t="s">
        <v>13</v>
      </c>
      <c r="C1007" t="s">
        <v>132</v>
      </c>
      <c r="D1007">
        <v>54</v>
      </c>
      <c r="E1007" t="s">
        <v>10</v>
      </c>
      <c r="F1007" t="s">
        <v>11</v>
      </c>
      <c r="G1007" t="s">
        <v>80</v>
      </c>
      <c r="H1007" s="10">
        <v>46124.493969907409</v>
      </c>
    </row>
    <row r="1008" spans="1:8" x14ac:dyDescent="0.25">
      <c r="A1008">
        <v>1014</v>
      </c>
      <c r="B1008" t="s">
        <v>260</v>
      </c>
      <c r="C1008" t="s">
        <v>572</v>
      </c>
      <c r="D1008">
        <v>69</v>
      </c>
      <c r="E1008" t="s">
        <v>26</v>
      </c>
      <c r="F1008" t="s">
        <v>11</v>
      </c>
      <c r="G1008" t="s">
        <v>51</v>
      </c>
      <c r="H1008" s="10">
        <v>46124.494317129633</v>
      </c>
    </row>
    <row r="1009" spans="1:8" x14ac:dyDescent="0.25">
      <c r="A1009">
        <v>1015</v>
      </c>
      <c r="B1009" t="s">
        <v>86</v>
      </c>
      <c r="C1009" t="s">
        <v>918</v>
      </c>
      <c r="D1009">
        <v>59</v>
      </c>
      <c r="E1009" t="s">
        <v>10</v>
      </c>
      <c r="F1009" t="s">
        <v>11</v>
      </c>
      <c r="G1009" t="s">
        <v>46</v>
      </c>
      <c r="H1009" s="10">
        <v>46124.494664351849</v>
      </c>
    </row>
    <row r="1010" spans="1:8" x14ac:dyDescent="0.25">
      <c r="A1010">
        <v>1016</v>
      </c>
      <c r="B1010" t="s">
        <v>88</v>
      </c>
      <c r="C1010" t="s">
        <v>826</v>
      </c>
      <c r="D1010">
        <v>59</v>
      </c>
      <c r="E1010" t="s">
        <v>19</v>
      </c>
      <c r="F1010" t="s">
        <v>73</v>
      </c>
      <c r="G1010" t="s">
        <v>99</v>
      </c>
      <c r="H1010" s="10">
        <v>46124.49496527778</v>
      </c>
    </row>
    <row r="1011" spans="1:8" x14ac:dyDescent="0.25">
      <c r="A1011">
        <v>1017</v>
      </c>
      <c r="B1011" t="s">
        <v>484</v>
      </c>
      <c r="C1011" t="s">
        <v>748</v>
      </c>
      <c r="D1011">
        <v>30</v>
      </c>
      <c r="E1011" t="s">
        <v>10</v>
      </c>
      <c r="F1011" t="s">
        <v>11</v>
      </c>
      <c r="G1011" t="s">
        <v>23</v>
      </c>
      <c r="H1011" s="10">
        <v>46124.49523148148</v>
      </c>
    </row>
    <row r="1012" spans="1:8" x14ac:dyDescent="0.25">
      <c r="A1012">
        <v>1018</v>
      </c>
      <c r="B1012" t="s">
        <v>206</v>
      </c>
      <c r="C1012" t="s">
        <v>919</v>
      </c>
      <c r="D1012">
        <v>44</v>
      </c>
      <c r="E1012" t="s">
        <v>26</v>
      </c>
      <c r="F1012" t="s">
        <v>20</v>
      </c>
      <c r="G1012" t="s">
        <v>54</v>
      </c>
      <c r="H1012" s="10">
        <v>46124.495671296296</v>
      </c>
    </row>
    <row r="1013" spans="1:8" x14ac:dyDescent="0.25">
      <c r="A1013">
        <v>1019</v>
      </c>
      <c r="B1013" t="s">
        <v>199</v>
      </c>
      <c r="C1013" t="s">
        <v>920</v>
      </c>
      <c r="D1013">
        <v>49</v>
      </c>
      <c r="E1013" t="s">
        <v>19</v>
      </c>
      <c r="F1013" t="s">
        <v>15</v>
      </c>
      <c r="G1013" t="s">
        <v>51</v>
      </c>
      <c r="H1013" s="10">
        <v>46124.496018518519</v>
      </c>
    </row>
    <row r="1014" spans="1:8" x14ac:dyDescent="0.25">
      <c r="A1014">
        <v>1020</v>
      </c>
      <c r="B1014" t="s">
        <v>803</v>
      </c>
      <c r="C1014" t="s">
        <v>921</v>
      </c>
      <c r="D1014">
        <v>32</v>
      </c>
      <c r="E1014" t="s">
        <v>10</v>
      </c>
      <c r="F1014" t="s">
        <v>29</v>
      </c>
      <c r="G1014" t="s">
        <v>16</v>
      </c>
      <c r="H1014" s="10">
        <v>46124.496423611112</v>
      </c>
    </row>
    <row r="1015" spans="1:8" x14ac:dyDescent="0.25">
      <c r="A1015">
        <v>1021</v>
      </c>
      <c r="B1015" t="s">
        <v>521</v>
      </c>
      <c r="C1015" t="s">
        <v>205</v>
      </c>
      <c r="D1015">
        <v>43</v>
      </c>
      <c r="E1015" t="s">
        <v>19</v>
      </c>
      <c r="F1015" t="s">
        <v>20</v>
      </c>
      <c r="G1015" t="s">
        <v>114</v>
      </c>
      <c r="H1015" s="10">
        <v>46124.496724537035</v>
      </c>
    </row>
    <row r="1016" spans="1:8" x14ac:dyDescent="0.25">
      <c r="A1016">
        <v>1022</v>
      </c>
      <c r="B1016" t="s">
        <v>922</v>
      </c>
      <c r="C1016" t="s">
        <v>923</v>
      </c>
      <c r="D1016">
        <v>39</v>
      </c>
      <c r="E1016" t="s">
        <v>19</v>
      </c>
      <c r="F1016" t="s">
        <v>11</v>
      </c>
      <c r="G1016" t="s">
        <v>80</v>
      </c>
      <c r="H1016" s="10">
        <v>46124.497037037036</v>
      </c>
    </row>
    <row r="1017" spans="1:8" x14ac:dyDescent="0.25">
      <c r="A1017">
        <v>1023</v>
      </c>
      <c r="B1017" t="s">
        <v>302</v>
      </c>
      <c r="C1017" t="s">
        <v>148</v>
      </c>
      <c r="D1017">
        <v>45</v>
      </c>
      <c r="E1017" t="s">
        <v>10</v>
      </c>
      <c r="F1017" t="s">
        <v>20</v>
      </c>
      <c r="G1017" t="s">
        <v>30</v>
      </c>
      <c r="H1017" s="10">
        <v>46124.497372685182</v>
      </c>
    </row>
    <row r="1018" spans="1:8" x14ac:dyDescent="0.25">
      <c r="A1018">
        <v>1024</v>
      </c>
      <c r="B1018" t="s">
        <v>520</v>
      </c>
      <c r="C1018" t="s">
        <v>924</v>
      </c>
      <c r="D1018">
        <v>56</v>
      </c>
      <c r="E1018" t="s">
        <v>26</v>
      </c>
      <c r="F1018" t="s">
        <v>73</v>
      </c>
      <c r="G1018" t="s">
        <v>23</v>
      </c>
      <c r="H1018" s="10">
        <v>46124.497534722221</v>
      </c>
    </row>
    <row r="1019" spans="1:8" x14ac:dyDescent="0.25">
      <c r="A1019">
        <v>1025</v>
      </c>
      <c r="B1019" t="s">
        <v>142</v>
      </c>
      <c r="C1019" t="s">
        <v>925</v>
      </c>
      <c r="D1019">
        <v>57</v>
      </c>
      <c r="E1019" t="s">
        <v>10</v>
      </c>
      <c r="F1019" t="s">
        <v>73</v>
      </c>
      <c r="G1019" t="s">
        <v>68</v>
      </c>
      <c r="H1019" s="10">
        <v>46124.49796296296</v>
      </c>
    </row>
    <row r="1020" spans="1:8" x14ac:dyDescent="0.25">
      <c r="A1020">
        <v>1026</v>
      </c>
      <c r="B1020" t="s">
        <v>926</v>
      </c>
      <c r="C1020" t="s">
        <v>87</v>
      </c>
      <c r="D1020">
        <v>49</v>
      </c>
      <c r="E1020" t="s">
        <v>26</v>
      </c>
      <c r="F1020" t="s">
        <v>73</v>
      </c>
      <c r="G1020" t="s">
        <v>65</v>
      </c>
      <c r="H1020" s="10">
        <v>46124.49827546296</v>
      </c>
    </row>
    <row r="1021" spans="1:8" x14ac:dyDescent="0.25">
      <c r="A1021">
        <v>1027</v>
      </c>
      <c r="B1021" t="s">
        <v>220</v>
      </c>
      <c r="C1021" t="s">
        <v>237</v>
      </c>
      <c r="D1021">
        <v>31</v>
      </c>
      <c r="E1021" t="s">
        <v>19</v>
      </c>
      <c r="F1021" t="s">
        <v>29</v>
      </c>
      <c r="G1021" t="s">
        <v>99</v>
      </c>
      <c r="H1021" s="10">
        <v>46124.498807870368</v>
      </c>
    </row>
    <row r="1022" spans="1:8" x14ac:dyDescent="0.25">
      <c r="A1022">
        <v>1028</v>
      </c>
      <c r="B1022" t="s">
        <v>104</v>
      </c>
      <c r="C1022" t="s">
        <v>809</v>
      </c>
      <c r="D1022">
        <v>46</v>
      </c>
      <c r="E1022" t="s">
        <v>26</v>
      </c>
      <c r="F1022" t="s">
        <v>20</v>
      </c>
      <c r="G1022" t="s">
        <v>39</v>
      </c>
      <c r="H1022" s="10">
        <v>46124.498923611114</v>
      </c>
    </row>
    <row r="1023" spans="1:8" x14ac:dyDescent="0.25">
      <c r="A1023">
        <v>1029</v>
      </c>
      <c r="B1023" t="s">
        <v>927</v>
      </c>
      <c r="C1023" t="s">
        <v>515</v>
      </c>
      <c r="D1023">
        <v>47</v>
      </c>
      <c r="E1023" t="s">
        <v>10</v>
      </c>
      <c r="F1023" t="s">
        <v>29</v>
      </c>
      <c r="G1023" t="s">
        <v>12</v>
      </c>
      <c r="H1023" s="10">
        <v>46124.499062499999</v>
      </c>
    </row>
    <row r="1024" spans="1:8" x14ac:dyDescent="0.25">
      <c r="A1024">
        <v>1030</v>
      </c>
      <c r="B1024" t="s">
        <v>78</v>
      </c>
      <c r="C1024" t="s">
        <v>384</v>
      </c>
      <c r="D1024">
        <v>44</v>
      </c>
      <c r="E1024" t="s">
        <v>19</v>
      </c>
      <c r="F1024" t="s">
        <v>29</v>
      </c>
      <c r="G1024" t="s">
        <v>80</v>
      </c>
      <c r="H1024" s="10">
        <v>46124.499282407407</v>
      </c>
    </row>
    <row r="1025" spans="1:8" x14ac:dyDescent="0.25">
      <c r="A1025">
        <v>1031</v>
      </c>
      <c r="B1025" t="s">
        <v>58</v>
      </c>
      <c r="C1025" t="s">
        <v>135</v>
      </c>
      <c r="D1025">
        <v>48</v>
      </c>
      <c r="E1025" t="s">
        <v>26</v>
      </c>
      <c r="F1025" t="s">
        <v>29</v>
      </c>
      <c r="G1025" t="s">
        <v>46</v>
      </c>
      <c r="H1025" s="10">
        <v>46124.499780092592</v>
      </c>
    </row>
    <row r="1026" spans="1:8" x14ac:dyDescent="0.25">
      <c r="A1026">
        <v>1032</v>
      </c>
      <c r="B1026" t="s">
        <v>175</v>
      </c>
      <c r="C1026" t="s">
        <v>729</v>
      </c>
      <c r="D1026">
        <v>56</v>
      </c>
      <c r="E1026" t="s">
        <v>26</v>
      </c>
      <c r="F1026" t="s">
        <v>15</v>
      </c>
      <c r="G1026" t="s">
        <v>133</v>
      </c>
      <c r="H1026" s="10">
        <v>46124.499918981484</v>
      </c>
    </row>
    <row r="1027" spans="1:8" x14ac:dyDescent="0.25">
      <c r="A1027">
        <v>1033</v>
      </c>
      <c r="B1027" t="s">
        <v>630</v>
      </c>
      <c r="C1027" t="s">
        <v>211</v>
      </c>
      <c r="D1027">
        <v>50</v>
      </c>
      <c r="E1027" t="s">
        <v>10</v>
      </c>
      <c r="F1027" t="s">
        <v>33</v>
      </c>
      <c r="G1027" t="s">
        <v>12</v>
      </c>
      <c r="H1027" s="10">
        <v>46124.500428240739</v>
      </c>
    </row>
    <row r="1028" spans="1:8" x14ac:dyDescent="0.25">
      <c r="A1028">
        <v>1034</v>
      </c>
      <c r="B1028" t="s">
        <v>484</v>
      </c>
      <c r="C1028" t="s">
        <v>928</v>
      </c>
      <c r="D1028">
        <v>66</v>
      </c>
      <c r="E1028" t="s">
        <v>10</v>
      </c>
      <c r="F1028" t="s">
        <v>73</v>
      </c>
      <c r="G1028" t="s">
        <v>42</v>
      </c>
      <c r="H1028" s="10">
        <v>46124.501006944447</v>
      </c>
    </row>
    <row r="1029" spans="1:8" x14ac:dyDescent="0.25">
      <c r="A1029">
        <v>1035</v>
      </c>
      <c r="B1029" t="s">
        <v>262</v>
      </c>
      <c r="C1029" t="s">
        <v>802</v>
      </c>
      <c r="D1029">
        <v>64</v>
      </c>
      <c r="E1029" t="s">
        <v>26</v>
      </c>
      <c r="F1029" t="s">
        <v>11</v>
      </c>
      <c r="G1029" t="s">
        <v>80</v>
      </c>
      <c r="H1029" s="10">
        <v>46124.501261574071</v>
      </c>
    </row>
    <row r="1030" spans="1:8" x14ac:dyDescent="0.25">
      <c r="A1030">
        <v>1036</v>
      </c>
      <c r="B1030" t="s">
        <v>268</v>
      </c>
      <c r="C1030" t="s">
        <v>329</v>
      </c>
      <c r="D1030">
        <v>41</v>
      </c>
      <c r="E1030" t="s">
        <v>19</v>
      </c>
      <c r="F1030" t="s">
        <v>29</v>
      </c>
      <c r="G1030" t="s">
        <v>76</v>
      </c>
      <c r="H1030" s="10">
        <v>46124.501388888886</v>
      </c>
    </row>
    <row r="1031" spans="1:8" x14ac:dyDescent="0.25">
      <c r="A1031">
        <v>1037</v>
      </c>
      <c r="B1031" t="s">
        <v>246</v>
      </c>
      <c r="C1031" t="s">
        <v>82</v>
      </c>
      <c r="D1031">
        <v>18</v>
      </c>
      <c r="E1031" t="s">
        <v>19</v>
      </c>
      <c r="F1031" t="s">
        <v>15</v>
      </c>
      <c r="G1031" t="s">
        <v>76</v>
      </c>
      <c r="H1031" s="10">
        <v>46124.501770833333</v>
      </c>
    </row>
    <row r="1032" spans="1:8" x14ac:dyDescent="0.25">
      <c r="A1032">
        <v>1038</v>
      </c>
      <c r="B1032" t="s">
        <v>386</v>
      </c>
      <c r="C1032" t="s">
        <v>379</v>
      </c>
      <c r="D1032">
        <v>39</v>
      </c>
      <c r="E1032" t="s">
        <v>19</v>
      </c>
      <c r="F1032" t="s">
        <v>45</v>
      </c>
      <c r="G1032" t="s">
        <v>42</v>
      </c>
      <c r="H1032" s="10">
        <v>46124.502442129633</v>
      </c>
    </row>
    <row r="1033" spans="1:8" x14ac:dyDescent="0.25">
      <c r="A1033">
        <v>1039</v>
      </c>
      <c r="B1033" t="s">
        <v>13</v>
      </c>
      <c r="C1033" t="s">
        <v>9</v>
      </c>
      <c r="D1033">
        <v>49</v>
      </c>
      <c r="E1033" t="s">
        <v>26</v>
      </c>
      <c r="F1033" t="s">
        <v>29</v>
      </c>
      <c r="G1033" t="s">
        <v>12</v>
      </c>
      <c r="H1033" s="10">
        <v>46124.502870370372</v>
      </c>
    </row>
    <row r="1034" spans="1:8" x14ac:dyDescent="0.25">
      <c r="A1034">
        <v>1040</v>
      </c>
      <c r="B1034" t="s">
        <v>929</v>
      </c>
      <c r="C1034" t="s">
        <v>419</v>
      </c>
      <c r="D1034">
        <v>67</v>
      </c>
      <c r="E1034" t="s">
        <v>26</v>
      </c>
      <c r="F1034" t="s">
        <v>73</v>
      </c>
      <c r="G1034" t="s">
        <v>36</v>
      </c>
      <c r="H1034" s="10">
        <v>46124.503530092596</v>
      </c>
    </row>
    <row r="1035" spans="1:8" x14ac:dyDescent="0.25">
      <c r="A1035">
        <v>1041</v>
      </c>
      <c r="B1035" t="s">
        <v>86</v>
      </c>
      <c r="C1035" t="s">
        <v>329</v>
      </c>
      <c r="D1035">
        <v>67</v>
      </c>
      <c r="E1035" t="s">
        <v>19</v>
      </c>
      <c r="F1035" t="s">
        <v>33</v>
      </c>
      <c r="G1035" t="s">
        <v>16</v>
      </c>
      <c r="H1035" s="10">
        <v>46124.504074074073</v>
      </c>
    </row>
    <row r="1036" spans="1:8" x14ac:dyDescent="0.25">
      <c r="A1036">
        <v>1042</v>
      </c>
      <c r="B1036" t="s">
        <v>445</v>
      </c>
      <c r="C1036" t="s">
        <v>611</v>
      </c>
      <c r="D1036">
        <v>57</v>
      </c>
      <c r="E1036" t="s">
        <v>19</v>
      </c>
      <c r="F1036" t="s">
        <v>33</v>
      </c>
      <c r="G1036" t="s">
        <v>12</v>
      </c>
      <c r="H1036" s="10">
        <v>46124.504490740743</v>
      </c>
    </row>
    <row r="1037" spans="1:8" x14ac:dyDescent="0.25">
      <c r="A1037">
        <v>1043</v>
      </c>
      <c r="B1037" t="s">
        <v>679</v>
      </c>
      <c r="C1037" t="s">
        <v>486</v>
      </c>
      <c r="D1037">
        <v>70</v>
      </c>
      <c r="E1037" t="s">
        <v>10</v>
      </c>
      <c r="F1037" t="s">
        <v>15</v>
      </c>
      <c r="G1037" t="s">
        <v>23</v>
      </c>
      <c r="H1037" s="10">
        <v>46124.504861111112</v>
      </c>
    </row>
    <row r="1038" spans="1:8" x14ac:dyDescent="0.25">
      <c r="A1038">
        <v>1044</v>
      </c>
      <c r="B1038" t="s">
        <v>93</v>
      </c>
      <c r="C1038" t="s">
        <v>930</v>
      </c>
      <c r="D1038">
        <v>20</v>
      </c>
      <c r="E1038" t="s">
        <v>19</v>
      </c>
      <c r="F1038" t="s">
        <v>29</v>
      </c>
      <c r="G1038" t="s">
        <v>80</v>
      </c>
      <c r="H1038" s="10">
        <v>46124.505347222221</v>
      </c>
    </row>
    <row r="1039" spans="1:8" x14ac:dyDescent="0.25">
      <c r="A1039">
        <v>1045</v>
      </c>
      <c r="B1039" t="s">
        <v>488</v>
      </c>
      <c r="C1039" t="s">
        <v>539</v>
      </c>
      <c r="D1039">
        <v>47</v>
      </c>
      <c r="E1039" t="s">
        <v>10</v>
      </c>
      <c r="F1039" t="s">
        <v>33</v>
      </c>
      <c r="G1039" t="s">
        <v>99</v>
      </c>
      <c r="H1039" s="10">
        <v>46124.505555555559</v>
      </c>
    </row>
    <row r="1040" spans="1:8" x14ac:dyDescent="0.25">
      <c r="A1040">
        <v>1046</v>
      </c>
      <c r="B1040" t="s">
        <v>553</v>
      </c>
      <c r="C1040" t="s">
        <v>376</v>
      </c>
      <c r="D1040">
        <v>54</v>
      </c>
      <c r="E1040" t="s">
        <v>19</v>
      </c>
      <c r="F1040" t="s">
        <v>73</v>
      </c>
      <c r="G1040" t="s">
        <v>23</v>
      </c>
      <c r="H1040" s="10">
        <v>46124.506064814814</v>
      </c>
    </row>
    <row r="1041" spans="1:8" x14ac:dyDescent="0.25">
      <c r="A1041">
        <v>1047</v>
      </c>
      <c r="B1041" t="s">
        <v>931</v>
      </c>
      <c r="C1041" t="s">
        <v>932</v>
      </c>
      <c r="D1041">
        <v>43</v>
      </c>
      <c r="E1041" t="s">
        <v>19</v>
      </c>
      <c r="F1041" t="s">
        <v>11</v>
      </c>
      <c r="G1041" t="s">
        <v>42</v>
      </c>
      <c r="H1041" s="10">
        <v>46124.50640046296</v>
      </c>
    </row>
    <row r="1042" spans="1:8" x14ac:dyDescent="0.25">
      <c r="A1042">
        <v>1048</v>
      </c>
      <c r="B1042" t="s">
        <v>287</v>
      </c>
      <c r="C1042" t="s">
        <v>677</v>
      </c>
      <c r="D1042">
        <v>41</v>
      </c>
      <c r="E1042" t="s">
        <v>10</v>
      </c>
      <c r="F1042" t="s">
        <v>11</v>
      </c>
      <c r="G1042" t="s">
        <v>39</v>
      </c>
      <c r="H1042" s="10">
        <v>46124.507060185184</v>
      </c>
    </row>
    <row r="1043" spans="1:8" x14ac:dyDescent="0.25">
      <c r="A1043">
        <v>1049</v>
      </c>
      <c r="B1043" t="s">
        <v>521</v>
      </c>
      <c r="C1043" t="s">
        <v>933</v>
      </c>
      <c r="D1043">
        <v>54</v>
      </c>
      <c r="E1043" t="s">
        <v>26</v>
      </c>
      <c r="F1043" t="s">
        <v>15</v>
      </c>
      <c r="G1043" t="s">
        <v>80</v>
      </c>
      <c r="H1043" s="10">
        <v>46124.507407407407</v>
      </c>
    </row>
    <row r="1044" spans="1:8" x14ac:dyDescent="0.25">
      <c r="A1044">
        <v>1050</v>
      </c>
      <c r="B1044" t="s">
        <v>134</v>
      </c>
      <c r="C1044" t="s">
        <v>273</v>
      </c>
      <c r="D1044">
        <v>70</v>
      </c>
      <c r="E1044" t="s">
        <v>26</v>
      </c>
      <c r="F1044" t="s">
        <v>20</v>
      </c>
      <c r="G1044" t="s">
        <v>39</v>
      </c>
      <c r="H1044" s="10">
        <v>46124.5077662037</v>
      </c>
    </row>
    <row r="1045" spans="1:8" x14ac:dyDescent="0.25">
      <c r="A1045">
        <v>1051</v>
      </c>
      <c r="B1045" t="s">
        <v>643</v>
      </c>
      <c r="C1045" t="s">
        <v>618</v>
      </c>
      <c r="D1045">
        <v>20</v>
      </c>
      <c r="E1045" t="s">
        <v>19</v>
      </c>
      <c r="F1045" t="s">
        <v>11</v>
      </c>
      <c r="G1045" t="s">
        <v>65</v>
      </c>
      <c r="H1045" s="10">
        <v>46124.508148148147</v>
      </c>
    </row>
    <row r="1046" spans="1:8" x14ac:dyDescent="0.25">
      <c r="A1046">
        <v>1052</v>
      </c>
      <c r="B1046" t="s">
        <v>934</v>
      </c>
      <c r="C1046" t="s">
        <v>139</v>
      </c>
      <c r="D1046">
        <v>64</v>
      </c>
      <c r="E1046" t="s">
        <v>19</v>
      </c>
      <c r="F1046" t="s">
        <v>11</v>
      </c>
      <c r="G1046" t="s">
        <v>51</v>
      </c>
      <c r="H1046" s="10">
        <v>46124.508472222224</v>
      </c>
    </row>
    <row r="1047" spans="1:8" x14ac:dyDescent="0.25">
      <c r="A1047">
        <v>1053</v>
      </c>
      <c r="B1047" t="s">
        <v>17</v>
      </c>
      <c r="C1047" t="s">
        <v>539</v>
      </c>
      <c r="D1047">
        <v>37</v>
      </c>
      <c r="E1047" t="s">
        <v>10</v>
      </c>
      <c r="F1047" t="s">
        <v>45</v>
      </c>
      <c r="G1047" t="s">
        <v>54</v>
      </c>
      <c r="H1047" s="10">
        <v>46124.509050925924</v>
      </c>
    </row>
    <row r="1048" spans="1:8" x14ac:dyDescent="0.25">
      <c r="A1048">
        <v>1054</v>
      </c>
      <c r="B1048" t="s">
        <v>927</v>
      </c>
      <c r="C1048" t="s">
        <v>82</v>
      </c>
      <c r="D1048">
        <v>34</v>
      </c>
      <c r="E1048" t="s">
        <v>19</v>
      </c>
      <c r="F1048" t="s">
        <v>20</v>
      </c>
      <c r="G1048" t="s">
        <v>57</v>
      </c>
      <c r="H1048" s="10">
        <v>46124.509675925925</v>
      </c>
    </row>
    <row r="1049" spans="1:8" x14ac:dyDescent="0.25">
      <c r="A1049">
        <v>1055</v>
      </c>
      <c r="B1049" t="s">
        <v>252</v>
      </c>
      <c r="C1049" t="s">
        <v>135</v>
      </c>
      <c r="D1049">
        <v>22</v>
      </c>
      <c r="E1049" t="s">
        <v>19</v>
      </c>
      <c r="F1049" t="s">
        <v>45</v>
      </c>
      <c r="G1049" t="s">
        <v>57</v>
      </c>
      <c r="H1049" s="10">
        <v>46124.510127314818</v>
      </c>
    </row>
    <row r="1050" spans="1:8" x14ac:dyDescent="0.25">
      <c r="A1050">
        <v>1056</v>
      </c>
      <c r="B1050" t="s">
        <v>142</v>
      </c>
      <c r="C1050" t="s">
        <v>273</v>
      </c>
      <c r="D1050">
        <v>52</v>
      </c>
      <c r="E1050" t="s">
        <v>19</v>
      </c>
      <c r="F1050" t="s">
        <v>15</v>
      </c>
      <c r="G1050" t="s">
        <v>23</v>
      </c>
      <c r="H1050" s="10">
        <v>46124.51053240741</v>
      </c>
    </row>
    <row r="1051" spans="1:8" x14ac:dyDescent="0.25">
      <c r="A1051">
        <v>1057</v>
      </c>
      <c r="B1051" t="s">
        <v>935</v>
      </c>
      <c r="C1051" t="s">
        <v>936</v>
      </c>
      <c r="D1051">
        <v>37</v>
      </c>
      <c r="E1051" t="s">
        <v>19</v>
      </c>
      <c r="F1051" t="s">
        <v>11</v>
      </c>
      <c r="G1051" t="s">
        <v>80</v>
      </c>
      <c r="H1051" s="10">
        <v>46124.510821759257</v>
      </c>
    </row>
    <row r="1052" spans="1:8" x14ac:dyDescent="0.25">
      <c r="A1052">
        <v>1058</v>
      </c>
      <c r="B1052" t="s">
        <v>63</v>
      </c>
      <c r="C1052" t="s">
        <v>154</v>
      </c>
      <c r="D1052">
        <v>45</v>
      </c>
      <c r="E1052" t="s">
        <v>10</v>
      </c>
      <c r="F1052" t="s">
        <v>29</v>
      </c>
      <c r="G1052" t="s">
        <v>80</v>
      </c>
      <c r="H1052" s="10">
        <v>46124.511377314811</v>
      </c>
    </row>
    <row r="1053" spans="1:8" x14ac:dyDescent="0.25">
      <c r="A1053">
        <v>1059</v>
      </c>
      <c r="B1053" t="s">
        <v>296</v>
      </c>
      <c r="C1053" t="s">
        <v>510</v>
      </c>
      <c r="D1053">
        <v>25</v>
      </c>
      <c r="E1053" t="s">
        <v>10</v>
      </c>
      <c r="F1053" t="s">
        <v>20</v>
      </c>
      <c r="G1053" t="s">
        <v>12</v>
      </c>
      <c r="H1053" s="10">
        <v>46124.511747685188</v>
      </c>
    </row>
    <row r="1054" spans="1:8" x14ac:dyDescent="0.25">
      <c r="A1054">
        <v>1060</v>
      </c>
      <c r="B1054" t="s">
        <v>127</v>
      </c>
      <c r="C1054" t="s">
        <v>239</v>
      </c>
      <c r="D1054">
        <v>43</v>
      </c>
      <c r="E1054" t="s">
        <v>26</v>
      </c>
      <c r="F1054" t="s">
        <v>73</v>
      </c>
      <c r="G1054" t="s">
        <v>12</v>
      </c>
      <c r="H1054" s="10">
        <v>46124.512384259258</v>
      </c>
    </row>
    <row r="1055" spans="1:8" x14ac:dyDescent="0.25">
      <c r="A1055">
        <v>1061</v>
      </c>
      <c r="B1055" t="s">
        <v>131</v>
      </c>
      <c r="C1055" t="s">
        <v>139</v>
      </c>
      <c r="D1055">
        <v>26</v>
      </c>
      <c r="E1055" t="s">
        <v>26</v>
      </c>
      <c r="F1055" t="s">
        <v>45</v>
      </c>
      <c r="G1055" t="s">
        <v>23</v>
      </c>
      <c r="H1055" s="10">
        <v>46124.512824074074</v>
      </c>
    </row>
    <row r="1056" spans="1:8" x14ac:dyDescent="0.25">
      <c r="A1056">
        <v>1062</v>
      </c>
      <c r="B1056" t="s">
        <v>321</v>
      </c>
      <c r="C1056" t="s">
        <v>913</v>
      </c>
      <c r="D1056">
        <v>56</v>
      </c>
      <c r="E1056" t="s">
        <v>10</v>
      </c>
      <c r="F1056" t="s">
        <v>33</v>
      </c>
      <c r="G1056" t="s">
        <v>51</v>
      </c>
      <c r="H1056" s="10">
        <v>46124.51326388889</v>
      </c>
    </row>
    <row r="1057" spans="1:8" x14ac:dyDescent="0.25">
      <c r="A1057">
        <v>1063</v>
      </c>
      <c r="B1057" t="s">
        <v>673</v>
      </c>
      <c r="C1057" t="s">
        <v>937</v>
      </c>
      <c r="D1057">
        <v>57</v>
      </c>
      <c r="E1057" t="s">
        <v>10</v>
      </c>
      <c r="F1057" t="s">
        <v>73</v>
      </c>
      <c r="G1057" t="s">
        <v>30</v>
      </c>
      <c r="H1057" s="10">
        <v>46124.513865740744</v>
      </c>
    </row>
    <row r="1058" spans="1:8" x14ac:dyDescent="0.25">
      <c r="A1058">
        <v>1064</v>
      </c>
      <c r="B1058" t="s">
        <v>127</v>
      </c>
      <c r="C1058" t="s">
        <v>642</v>
      </c>
      <c r="D1058">
        <v>26</v>
      </c>
      <c r="E1058" t="s">
        <v>10</v>
      </c>
      <c r="F1058" t="s">
        <v>15</v>
      </c>
      <c r="G1058" t="s">
        <v>54</v>
      </c>
      <c r="H1058" s="10">
        <v>46124.513993055552</v>
      </c>
    </row>
    <row r="1059" spans="1:8" x14ac:dyDescent="0.25">
      <c r="A1059">
        <v>1065</v>
      </c>
      <c r="B1059" t="s">
        <v>58</v>
      </c>
      <c r="C1059" t="s">
        <v>402</v>
      </c>
      <c r="D1059">
        <v>51</v>
      </c>
      <c r="E1059" t="s">
        <v>26</v>
      </c>
      <c r="F1059" t="s">
        <v>20</v>
      </c>
      <c r="G1059" t="s">
        <v>76</v>
      </c>
      <c r="H1059" s="10">
        <v>46124.514618055553</v>
      </c>
    </row>
    <row r="1060" spans="1:8" x14ac:dyDescent="0.25">
      <c r="A1060">
        <v>1066</v>
      </c>
      <c r="B1060" t="s">
        <v>13</v>
      </c>
      <c r="C1060" t="s">
        <v>938</v>
      </c>
      <c r="D1060">
        <v>35</v>
      </c>
      <c r="E1060" t="s">
        <v>26</v>
      </c>
      <c r="F1060" t="s">
        <v>73</v>
      </c>
      <c r="G1060" t="s">
        <v>16</v>
      </c>
      <c r="H1060" s="10">
        <v>46124.514768518522</v>
      </c>
    </row>
    <row r="1061" spans="1:8" x14ac:dyDescent="0.25">
      <c r="A1061">
        <v>1067</v>
      </c>
      <c r="B1061" t="s">
        <v>81</v>
      </c>
      <c r="C1061" t="s">
        <v>555</v>
      </c>
      <c r="D1061">
        <v>18</v>
      </c>
      <c r="E1061" t="s">
        <v>26</v>
      </c>
      <c r="F1061" t="s">
        <v>45</v>
      </c>
      <c r="G1061" t="s">
        <v>36</v>
      </c>
      <c r="H1061" s="10">
        <v>46124.515393518515</v>
      </c>
    </row>
    <row r="1062" spans="1:8" x14ac:dyDescent="0.25">
      <c r="A1062">
        <v>1068</v>
      </c>
      <c r="B1062" t="s">
        <v>142</v>
      </c>
      <c r="C1062" t="s">
        <v>439</v>
      </c>
      <c r="D1062">
        <v>41</v>
      </c>
      <c r="E1062" t="s">
        <v>26</v>
      </c>
      <c r="F1062" t="s">
        <v>29</v>
      </c>
      <c r="G1062" t="s">
        <v>114</v>
      </c>
      <c r="H1062" s="10">
        <v>46124.515833333331</v>
      </c>
    </row>
    <row r="1063" spans="1:8" x14ac:dyDescent="0.25">
      <c r="A1063">
        <v>1069</v>
      </c>
      <c r="B1063" t="s">
        <v>175</v>
      </c>
      <c r="C1063" t="s">
        <v>273</v>
      </c>
      <c r="D1063">
        <v>35</v>
      </c>
      <c r="E1063" t="s">
        <v>19</v>
      </c>
      <c r="F1063" t="s">
        <v>20</v>
      </c>
      <c r="G1063" t="s">
        <v>12</v>
      </c>
      <c r="H1063" s="10">
        <v>46124.516446759262</v>
      </c>
    </row>
    <row r="1064" spans="1:8" x14ac:dyDescent="0.25">
      <c r="A1064">
        <v>1070</v>
      </c>
      <c r="B1064" t="s">
        <v>8</v>
      </c>
      <c r="C1064" t="s">
        <v>828</v>
      </c>
      <c r="D1064">
        <v>33</v>
      </c>
      <c r="E1064" t="s">
        <v>10</v>
      </c>
      <c r="F1064" t="s">
        <v>45</v>
      </c>
      <c r="G1064" t="s">
        <v>42</v>
      </c>
      <c r="H1064" s="10">
        <v>46124.516770833332</v>
      </c>
    </row>
    <row r="1065" spans="1:8" x14ac:dyDescent="0.25">
      <c r="A1065">
        <v>1071</v>
      </c>
      <c r="B1065" t="s">
        <v>110</v>
      </c>
      <c r="C1065" t="s">
        <v>939</v>
      </c>
      <c r="D1065">
        <v>63</v>
      </c>
      <c r="E1065" t="s">
        <v>26</v>
      </c>
      <c r="F1065" t="s">
        <v>15</v>
      </c>
      <c r="G1065" t="s">
        <v>42</v>
      </c>
      <c r="H1065" s="10">
        <v>46124.517245370371</v>
      </c>
    </row>
    <row r="1066" spans="1:8" x14ac:dyDescent="0.25">
      <c r="A1066">
        <v>1072</v>
      </c>
      <c r="B1066" t="s">
        <v>13</v>
      </c>
      <c r="C1066" t="s">
        <v>565</v>
      </c>
      <c r="D1066">
        <v>18</v>
      </c>
      <c r="E1066" t="s">
        <v>19</v>
      </c>
      <c r="F1066" t="s">
        <v>33</v>
      </c>
      <c r="G1066" t="s">
        <v>76</v>
      </c>
      <c r="H1066" s="10">
        <v>46124.517905092594</v>
      </c>
    </row>
    <row r="1067" spans="1:8" x14ac:dyDescent="0.25">
      <c r="A1067">
        <v>1073</v>
      </c>
      <c r="B1067" t="s">
        <v>151</v>
      </c>
      <c r="C1067" t="s">
        <v>135</v>
      </c>
      <c r="D1067">
        <v>32</v>
      </c>
      <c r="E1067" t="s">
        <v>19</v>
      </c>
      <c r="F1067" t="s">
        <v>45</v>
      </c>
      <c r="G1067" t="s">
        <v>57</v>
      </c>
      <c r="H1067" s="10">
        <v>46124.518414351849</v>
      </c>
    </row>
    <row r="1068" spans="1:8" x14ac:dyDescent="0.25">
      <c r="A1068">
        <v>1074</v>
      </c>
      <c r="B1068" t="s">
        <v>721</v>
      </c>
      <c r="C1068" t="s">
        <v>145</v>
      </c>
      <c r="D1068">
        <v>34</v>
      </c>
      <c r="E1068" t="s">
        <v>26</v>
      </c>
      <c r="F1068" t="s">
        <v>33</v>
      </c>
      <c r="G1068" t="s">
        <v>70</v>
      </c>
      <c r="H1068" s="10">
        <v>46124.51902777778</v>
      </c>
    </row>
    <row r="1069" spans="1:8" x14ac:dyDescent="0.25">
      <c r="A1069">
        <v>1075</v>
      </c>
      <c r="B1069" t="s">
        <v>62</v>
      </c>
      <c r="C1069" t="s">
        <v>940</v>
      </c>
      <c r="D1069">
        <v>23</v>
      </c>
      <c r="E1069" t="s">
        <v>10</v>
      </c>
      <c r="F1069" t="s">
        <v>11</v>
      </c>
      <c r="G1069" t="s">
        <v>42</v>
      </c>
      <c r="H1069" s="10">
        <v>46124.519571759258</v>
      </c>
    </row>
    <row r="1070" spans="1:8" x14ac:dyDescent="0.25">
      <c r="A1070">
        <v>1076</v>
      </c>
      <c r="B1070" t="s">
        <v>941</v>
      </c>
      <c r="C1070" t="s">
        <v>942</v>
      </c>
      <c r="D1070">
        <v>22</v>
      </c>
      <c r="E1070" t="s">
        <v>10</v>
      </c>
      <c r="F1070" t="s">
        <v>11</v>
      </c>
      <c r="G1070" t="s">
        <v>130</v>
      </c>
      <c r="H1070" s="10">
        <v>46124.51971064815</v>
      </c>
    </row>
    <row r="1071" spans="1:8" x14ac:dyDescent="0.25">
      <c r="A1071">
        <v>1077</v>
      </c>
      <c r="B1071" t="s">
        <v>586</v>
      </c>
      <c r="C1071" t="s">
        <v>943</v>
      </c>
      <c r="D1071">
        <v>48</v>
      </c>
      <c r="E1071" t="s">
        <v>10</v>
      </c>
      <c r="F1071" t="s">
        <v>45</v>
      </c>
      <c r="G1071" t="s">
        <v>70</v>
      </c>
      <c r="H1071" s="10">
        <v>46124.520057870373</v>
      </c>
    </row>
    <row r="1072" spans="1:8" x14ac:dyDescent="0.25">
      <c r="A1072">
        <v>1078</v>
      </c>
      <c r="B1072" t="s">
        <v>157</v>
      </c>
      <c r="C1072" t="s">
        <v>187</v>
      </c>
      <c r="D1072">
        <v>20</v>
      </c>
      <c r="E1072" t="s">
        <v>10</v>
      </c>
      <c r="F1072" t="s">
        <v>11</v>
      </c>
      <c r="G1072" t="s">
        <v>23</v>
      </c>
      <c r="H1072" s="10">
        <v>46124.520370370374</v>
      </c>
    </row>
    <row r="1073" spans="1:8" x14ac:dyDescent="0.25">
      <c r="A1073">
        <v>1079</v>
      </c>
      <c r="B1073" t="s">
        <v>944</v>
      </c>
      <c r="C1073" t="s">
        <v>222</v>
      </c>
      <c r="D1073">
        <v>28</v>
      </c>
      <c r="E1073" t="s">
        <v>19</v>
      </c>
      <c r="F1073" t="s">
        <v>45</v>
      </c>
      <c r="G1073" t="s">
        <v>76</v>
      </c>
      <c r="H1073" s="10">
        <v>46124.520624999997</v>
      </c>
    </row>
    <row r="1074" spans="1:8" x14ac:dyDescent="0.25">
      <c r="A1074">
        <v>1080</v>
      </c>
      <c r="B1074" t="s">
        <v>876</v>
      </c>
      <c r="C1074" t="s">
        <v>945</v>
      </c>
      <c r="D1074">
        <v>32</v>
      </c>
      <c r="E1074" t="s">
        <v>19</v>
      </c>
      <c r="F1074" t="s">
        <v>11</v>
      </c>
      <c r="G1074" t="s">
        <v>70</v>
      </c>
      <c r="H1074" s="10">
        <v>46124.521261574075</v>
      </c>
    </row>
    <row r="1075" spans="1:8" x14ac:dyDescent="0.25">
      <c r="A1075">
        <v>1081</v>
      </c>
      <c r="B1075" t="s">
        <v>13</v>
      </c>
      <c r="C1075" t="s">
        <v>273</v>
      </c>
      <c r="D1075">
        <v>48</v>
      </c>
      <c r="E1075" t="s">
        <v>19</v>
      </c>
      <c r="F1075" t="s">
        <v>29</v>
      </c>
      <c r="G1075" t="s">
        <v>46</v>
      </c>
      <c r="H1075" s="10">
        <v>46124.521863425929</v>
      </c>
    </row>
    <row r="1076" spans="1:8" x14ac:dyDescent="0.25">
      <c r="A1076">
        <v>1082</v>
      </c>
      <c r="B1076" t="s">
        <v>52</v>
      </c>
      <c r="C1076" t="s">
        <v>129</v>
      </c>
      <c r="D1076">
        <v>67</v>
      </c>
      <c r="E1076" t="s">
        <v>19</v>
      </c>
      <c r="F1076" t="s">
        <v>20</v>
      </c>
      <c r="G1076" t="s">
        <v>12</v>
      </c>
      <c r="H1076" s="10">
        <v>46124.522314814814</v>
      </c>
    </row>
    <row r="1077" spans="1:8" x14ac:dyDescent="0.25">
      <c r="A1077">
        <v>1083</v>
      </c>
      <c r="B1077" t="s">
        <v>13</v>
      </c>
      <c r="C1077" t="s">
        <v>924</v>
      </c>
      <c r="D1077">
        <v>70</v>
      </c>
      <c r="E1077" t="s">
        <v>26</v>
      </c>
      <c r="F1077" t="s">
        <v>29</v>
      </c>
      <c r="G1077" t="s">
        <v>30</v>
      </c>
      <c r="H1077" s="10">
        <v>46124.522453703707</v>
      </c>
    </row>
    <row r="1078" spans="1:8" x14ac:dyDescent="0.25">
      <c r="A1078">
        <v>1084</v>
      </c>
      <c r="B1078" t="s">
        <v>104</v>
      </c>
      <c r="C1078" t="s">
        <v>75</v>
      </c>
      <c r="D1078">
        <v>37</v>
      </c>
      <c r="E1078" t="s">
        <v>19</v>
      </c>
      <c r="F1078" t="s">
        <v>29</v>
      </c>
      <c r="G1078" t="s">
        <v>80</v>
      </c>
      <c r="H1078" s="10">
        <v>46124.523078703707</v>
      </c>
    </row>
    <row r="1079" spans="1:8" x14ac:dyDescent="0.25">
      <c r="A1079">
        <v>1085</v>
      </c>
      <c r="B1079" t="s">
        <v>415</v>
      </c>
      <c r="C1079" t="s">
        <v>946</v>
      </c>
      <c r="D1079">
        <v>50</v>
      </c>
      <c r="E1079" t="s">
        <v>26</v>
      </c>
      <c r="F1079" t="s">
        <v>45</v>
      </c>
      <c r="G1079" t="s">
        <v>23</v>
      </c>
      <c r="H1079" s="10">
        <v>46124.523229166669</v>
      </c>
    </row>
    <row r="1080" spans="1:8" x14ac:dyDescent="0.25">
      <c r="A1080">
        <v>1086</v>
      </c>
      <c r="B1080" t="s">
        <v>947</v>
      </c>
      <c r="C1080" t="s">
        <v>244</v>
      </c>
      <c r="D1080">
        <v>32</v>
      </c>
      <c r="E1080" t="s">
        <v>19</v>
      </c>
      <c r="F1080" t="s">
        <v>73</v>
      </c>
      <c r="G1080" t="s">
        <v>23</v>
      </c>
      <c r="H1080" s="10">
        <v>46124.52375</v>
      </c>
    </row>
    <row r="1081" spans="1:8" x14ac:dyDescent="0.25">
      <c r="A1081">
        <v>1087</v>
      </c>
      <c r="B1081" t="s">
        <v>246</v>
      </c>
      <c r="C1081" t="s">
        <v>948</v>
      </c>
      <c r="D1081">
        <v>57</v>
      </c>
      <c r="E1081" t="s">
        <v>26</v>
      </c>
      <c r="F1081" t="s">
        <v>33</v>
      </c>
      <c r="G1081" t="s">
        <v>57</v>
      </c>
      <c r="H1081" s="10">
        <v>46124.524409722224</v>
      </c>
    </row>
    <row r="1082" spans="1:8" x14ac:dyDescent="0.25">
      <c r="A1082">
        <v>1088</v>
      </c>
      <c r="B1082" t="s">
        <v>86</v>
      </c>
      <c r="C1082" t="s">
        <v>239</v>
      </c>
      <c r="D1082">
        <v>58</v>
      </c>
      <c r="E1082" t="s">
        <v>26</v>
      </c>
      <c r="F1082" t="s">
        <v>45</v>
      </c>
      <c r="G1082" t="s">
        <v>42</v>
      </c>
      <c r="H1082" s="10">
        <v>46124.524594907409</v>
      </c>
    </row>
    <row r="1083" spans="1:8" x14ac:dyDescent="0.25">
      <c r="A1083">
        <v>1089</v>
      </c>
      <c r="B1083" t="s">
        <v>258</v>
      </c>
      <c r="C1083" t="s">
        <v>172</v>
      </c>
      <c r="D1083">
        <v>36</v>
      </c>
      <c r="E1083" t="s">
        <v>19</v>
      </c>
      <c r="F1083" t="s">
        <v>11</v>
      </c>
      <c r="G1083" t="s">
        <v>30</v>
      </c>
      <c r="H1083" s="10">
        <v>46124.525219907409</v>
      </c>
    </row>
    <row r="1084" spans="1:8" x14ac:dyDescent="0.25">
      <c r="A1084">
        <v>1090</v>
      </c>
      <c r="B1084" t="s">
        <v>104</v>
      </c>
      <c r="C1084" t="s">
        <v>91</v>
      </c>
      <c r="D1084">
        <v>23</v>
      </c>
      <c r="E1084" t="s">
        <v>26</v>
      </c>
      <c r="F1084" t="s">
        <v>29</v>
      </c>
      <c r="G1084" t="s">
        <v>54</v>
      </c>
      <c r="H1084" s="10">
        <v>46124.525682870371</v>
      </c>
    </row>
    <row r="1085" spans="1:8" x14ac:dyDescent="0.25">
      <c r="A1085">
        <v>1091</v>
      </c>
      <c r="B1085" t="s">
        <v>117</v>
      </c>
      <c r="C1085" t="s">
        <v>367</v>
      </c>
      <c r="D1085">
        <v>60</v>
      </c>
      <c r="E1085" t="s">
        <v>10</v>
      </c>
      <c r="F1085" t="s">
        <v>29</v>
      </c>
      <c r="G1085" t="s">
        <v>42</v>
      </c>
      <c r="H1085" s="10">
        <v>46124.526238425926</v>
      </c>
    </row>
    <row r="1086" spans="1:8" x14ac:dyDescent="0.25">
      <c r="A1086">
        <v>1092</v>
      </c>
      <c r="B1086" t="s">
        <v>43</v>
      </c>
      <c r="C1086" t="s">
        <v>237</v>
      </c>
      <c r="D1086">
        <v>67</v>
      </c>
      <c r="E1086" t="s">
        <v>10</v>
      </c>
      <c r="F1086" t="s">
        <v>20</v>
      </c>
      <c r="G1086" t="s">
        <v>12</v>
      </c>
      <c r="H1086" s="10">
        <v>46124.526400462964</v>
      </c>
    </row>
    <row r="1087" spans="1:8" x14ac:dyDescent="0.25">
      <c r="A1087">
        <v>1093</v>
      </c>
      <c r="B1087" t="s">
        <v>180</v>
      </c>
      <c r="C1087" t="s">
        <v>452</v>
      </c>
      <c r="D1087">
        <v>57</v>
      </c>
      <c r="E1087" t="s">
        <v>19</v>
      </c>
      <c r="F1087" t="s">
        <v>33</v>
      </c>
      <c r="G1087" t="s">
        <v>30</v>
      </c>
      <c r="H1087" s="10">
        <v>46124.526562500003</v>
      </c>
    </row>
    <row r="1088" spans="1:8" x14ac:dyDescent="0.25">
      <c r="A1088">
        <v>1094</v>
      </c>
      <c r="B1088" t="s">
        <v>78</v>
      </c>
      <c r="C1088" t="s">
        <v>704</v>
      </c>
      <c r="D1088">
        <v>25</v>
      </c>
      <c r="E1088" t="s">
        <v>26</v>
      </c>
      <c r="F1088" t="s">
        <v>11</v>
      </c>
      <c r="G1088" t="s">
        <v>36</v>
      </c>
      <c r="H1088" s="10">
        <v>46124.526782407411</v>
      </c>
    </row>
    <row r="1089" spans="1:8" x14ac:dyDescent="0.25">
      <c r="A1089">
        <v>1095</v>
      </c>
      <c r="B1089" t="s">
        <v>479</v>
      </c>
      <c r="C1089" t="s">
        <v>257</v>
      </c>
      <c r="D1089">
        <v>23</v>
      </c>
      <c r="E1089" t="s">
        <v>19</v>
      </c>
      <c r="F1089" t="s">
        <v>20</v>
      </c>
      <c r="G1089" t="s">
        <v>46</v>
      </c>
      <c r="H1089" s="10">
        <v>46124.526909722219</v>
      </c>
    </row>
    <row r="1090" spans="1:8" x14ac:dyDescent="0.25">
      <c r="A1090">
        <v>1096</v>
      </c>
      <c r="B1090" t="s">
        <v>719</v>
      </c>
      <c r="C1090" t="s">
        <v>949</v>
      </c>
      <c r="D1090">
        <v>62</v>
      </c>
      <c r="E1090" t="s">
        <v>19</v>
      </c>
      <c r="F1090" t="s">
        <v>73</v>
      </c>
      <c r="G1090" t="s">
        <v>133</v>
      </c>
      <c r="H1090" s="10">
        <v>46124.527037037034</v>
      </c>
    </row>
    <row r="1091" spans="1:8" x14ac:dyDescent="0.25">
      <c r="A1091">
        <v>1097</v>
      </c>
      <c r="B1091" t="s">
        <v>349</v>
      </c>
      <c r="C1091" t="s">
        <v>269</v>
      </c>
      <c r="D1091">
        <v>53</v>
      </c>
      <c r="E1091" t="s">
        <v>19</v>
      </c>
      <c r="F1091" t="s">
        <v>11</v>
      </c>
      <c r="G1091" t="s">
        <v>30</v>
      </c>
      <c r="H1091" s="10">
        <v>46124.527222222219</v>
      </c>
    </row>
    <row r="1092" spans="1:8" x14ac:dyDescent="0.25">
      <c r="A1092">
        <v>1098</v>
      </c>
      <c r="B1092" t="s">
        <v>104</v>
      </c>
      <c r="C1092" t="s">
        <v>172</v>
      </c>
      <c r="D1092">
        <v>39</v>
      </c>
      <c r="E1092" t="s">
        <v>10</v>
      </c>
      <c r="F1092" t="s">
        <v>11</v>
      </c>
      <c r="G1092" t="s">
        <v>114</v>
      </c>
      <c r="H1092" s="10">
        <v>46124.52784722222</v>
      </c>
    </row>
    <row r="1093" spans="1:8" x14ac:dyDescent="0.25">
      <c r="A1093">
        <v>1099</v>
      </c>
      <c r="B1093" t="s">
        <v>270</v>
      </c>
      <c r="C1093" t="s">
        <v>950</v>
      </c>
      <c r="D1093">
        <v>57</v>
      </c>
      <c r="E1093" t="s">
        <v>26</v>
      </c>
      <c r="F1093" t="s">
        <v>73</v>
      </c>
      <c r="G1093" t="s">
        <v>130</v>
      </c>
      <c r="H1093" s="10">
        <v>46124.528148148151</v>
      </c>
    </row>
    <row r="1094" spans="1:8" x14ac:dyDescent="0.25">
      <c r="A1094">
        <v>1100</v>
      </c>
      <c r="B1094" t="s">
        <v>662</v>
      </c>
      <c r="C1094" t="s">
        <v>951</v>
      </c>
      <c r="D1094">
        <v>67</v>
      </c>
      <c r="E1094" t="s">
        <v>26</v>
      </c>
      <c r="F1094" t="s">
        <v>11</v>
      </c>
      <c r="G1094" t="s">
        <v>80</v>
      </c>
      <c r="H1094" s="10">
        <v>46124.528703703705</v>
      </c>
    </row>
    <row r="1095" spans="1:8" x14ac:dyDescent="0.25">
      <c r="A1095">
        <v>1101</v>
      </c>
      <c r="B1095" t="s">
        <v>155</v>
      </c>
      <c r="C1095" t="s">
        <v>174</v>
      </c>
      <c r="D1095">
        <v>62</v>
      </c>
      <c r="E1095" t="s">
        <v>10</v>
      </c>
      <c r="F1095" t="s">
        <v>15</v>
      </c>
      <c r="G1095" t="s">
        <v>99</v>
      </c>
      <c r="H1095" s="10">
        <v>46124.529305555552</v>
      </c>
    </row>
    <row r="1096" spans="1:8" x14ac:dyDescent="0.25">
      <c r="A1096">
        <v>1102</v>
      </c>
      <c r="B1096" t="s">
        <v>652</v>
      </c>
      <c r="C1096" t="s">
        <v>806</v>
      </c>
      <c r="D1096">
        <v>63</v>
      </c>
      <c r="E1096" t="s">
        <v>19</v>
      </c>
      <c r="F1096" t="s">
        <v>11</v>
      </c>
      <c r="G1096" t="s">
        <v>99</v>
      </c>
      <c r="H1096" s="10">
        <v>46124.529432870368</v>
      </c>
    </row>
    <row r="1097" spans="1:8" x14ac:dyDescent="0.25">
      <c r="A1097">
        <v>1103</v>
      </c>
      <c r="B1097" t="s">
        <v>504</v>
      </c>
      <c r="C1097" t="s">
        <v>244</v>
      </c>
      <c r="D1097">
        <v>69</v>
      </c>
      <c r="E1097" t="s">
        <v>26</v>
      </c>
      <c r="F1097" t="s">
        <v>20</v>
      </c>
      <c r="G1097" t="s">
        <v>16</v>
      </c>
      <c r="H1097" s="10">
        <v>46124.52957175926</v>
      </c>
    </row>
    <row r="1098" spans="1:8" x14ac:dyDescent="0.25">
      <c r="A1098">
        <v>1104</v>
      </c>
      <c r="B1098" t="s">
        <v>78</v>
      </c>
      <c r="C1098" t="s">
        <v>348</v>
      </c>
      <c r="D1098">
        <v>47</v>
      </c>
      <c r="E1098" t="s">
        <v>19</v>
      </c>
      <c r="F1098" t="s">
        <v>45</v>
      </c>
      <c r="G1098" t="s">
        <v>46</v>
      </c>
      <c r="H1098" s="10">
        <v>46124.530046296299</v>
      </c>
    </row>
    <row r="1099" spans="1:8" x14ac:dyDescent="0.25">
      <c r="A1099">
        <v>1105</v>
      </c>
      <c r="B1099" t="s">
        <v>305</v>
      </c>
      <c r="C1099" t="s">
        <v>612</v>
      </c>
      <c r="D1099">
        <v>44</v>
      </c>
      <c r="E1099" t="s">
        <v>19</v>
      </c>
      <c r="F1099" t="s">
        <v>20</v>
      </c>
      <c r="G1099" t="s">
        <v>57</v>
      </c>
      <c r="H1099" s="10">
        <v>46124.53019675926</v>
      </c>
    </row>
    <row r="1100" spans="1:8" x14ac:dyDescent="0.25">
      <c r="A1100">
        <v>1106</v>
      </c>
      <c r="B1100" t="s">
        <v>149</v>
      </c>
      <c r="C1100" t="s">
        <v>156</v>
      </c>
      <c r="D1100">
        <v>55</v>
      </c>
      <c r="E1100" t="s">
        <v>10</v>
      </c>
      <c r="F1100" t="s">
        <v>33</v>
      </c>
      <c r="G1100" t="s">
        <v>133</v>
      </c>
      <c r="H1100" s="10">
        <v>46124.530405092592</v>
      </c>
    </row>
    <row r="1101" spans="1:8" x14ac:dyDescent="0.25">
      <c r="A1101">
        <v>1107</v>
      </c>
      <c r="B1101" t="s">
        <v>468</v>
      </c>
      <c r="C1101" t="s">
        <v>945</v>
      </c>
      <c r="D1101">
        <v>35</v>
      </c>
      <c r="E1101" t="s">
        <v>26</v>
      </c>
      <c r="F1101" t="s">
        <v>15</v>
      </c>
      <c r="G1101" t="s">
        <v>57</v>
      </c>
      <c r="H1101" s="10">
        <v>46124.530844907407</v>
      </c>
    </row>
    <row r="1102" spans="1:8" x14ac:dyDescent="0.25">
      <c r="A1102">
        <v>1108</v>
      </c>
      <c r="B1102" t="s">
        <v>97</v>
      </c>
      <c r="C1102" t="s">
        <v>265</v>
      </c>
      <c r="D1102">
        <v>32</v>
      </c>
      <c r="E1102" t="s">
        <v>26</v>
      </c>
      <c r="F1102" t="s">
        <v>45</v>
      </c>
      <c r="G1102" t="s">
        <v>65</v>
      </c>
      <c r="H1102" s="10">
        <v>46125.604456018518</v>
      </c>
    </row>
    <row r="1103" spans="1:8" x14ac:dyDescent="0.25">
      <c r="A1103">
        <v>1109</v>
      </c>
      <c r="B1103" t="s">
        <v>952</v>
      </c>
      <c r="C1103" t="s">
        <v>953</v>
      </c>
      <c r="D1103">
        <v>69</v>
      </c>
      <c r="E1103" t="s">
        <v>26</v>
      </c>
      <c r="F1103" t="s">
        <v>29</v>
      </c>
      <c r="G1103" t="s">
        <v>130</v>
      </c>
      <c r="H1103" s="10">
        <v>46125.604872685188</v>
      </c>
    </row>
    <row r="1104" spans="1:8" x14ac:dyDescent="0.25">
      <c r="A1104">
        <v>1110</v>
      </c>
      <c r="B1104" t="s">
        <v>62</v>
      </c>
      <c r="C1104" t="s">
        <v>704</v>
      </c>
      <c r="D1104">
        <v>52</v>
      </c>
      <c r="E1104" t="s">
        <v>26</v>
      </c>
      <c r="F1104" t="s">
        <v>15</v>
      </c>
      <c r="G1104" t="s">
        <v>30</v>
      </c>
      <c r="H1104" s="10">
        <v>46125.605370370373</v>
      </c>
    </row>
    <row r="1105" spans="1:8" x14ac:dyDescent="0.25">
      <c r="A1105">
        <v>1111</v>
      </c>
      <c r="B1105" t="s">
        <v>232</v>
      </c>
      <c r="C1105" t="s">
        <v>362</v>
      </c>
      <c r="D1105">
        <v>41</v>
      </c>
      <c r="E1105" t="s">
        <v>19</v>
      </c>
      <c r="F1105" t="s">
        <v>73</v>
      </c>
      <c r="G1105" t="s">
        <v>12</v>
      </c>
      <c r="H1105" s="10">
        <v>46125.605949074074</v>
      </c>
    </row>
    <row r="1106" spans="1:8" x14ac:dyDescent="0.25">
      <c r="A1106">
        <v>1112</v>
      </c>
      <c r="B1106" t="s">
        <v>117</v>
      </c>
      <c r="C1106" t="s">
        <v>715</v>
      </c>
      <c r="D1106">
        <v>54</v>
      </c>
      <c r="E1106" t="s">
        <v>26</v>
      </c>
      <c r="F1106" t="s">
        <v>11</v>
      </c>
      <c r="G1106" t="s">
        <v>54</v>
      </c>
      <c r="H1106" s="10">
        <v>46125.60659722222</v>
      </c>
    </row>
    <row r="1107" spans="1:8" x14ac:dyDescent="0.25">
      <c r="A1107">
        <v>1113</v>
      </c>
      <c r="B1107" t="s">
        <v>104</v>
      </c>
      <c r="C1107" t="s">
        <v>517</v>
      </c>
      <c r="D1107">
        <v>63</v>
      </c>
      <c r="E1107" t="s">
        <v>19</v>
      </c>
      <c r="F1107" t="s">
        <v>45</v>
      </c>
      <c r="G1107" t="s">
        <v>42</v>
      </c>
      <c r="H1107" s="10">
        <v>46125.607060185182</v>
      </c>
    </row>
    <row r="1108" spans="1:8" x14ac:dyDescent="0.25">
      <c r="A1108">
        <v>1114</v>
      </c>
      <c r="B1108" t="s">
        <v>66</v>
      </c>
      <c r="C1108" t="s">
        <v>308</v>
      </c>
      <c r="D1108">
        <v>61</v>
      </c>
      <c r="E1108" t="s">
        <v>19</v>
      </c>
      <c r="F1108" t="s">
        <v>15</v>
      </c>
      <c r="G1108" t="s">
        <v>130</v>
      </c>
      <c r="H1108" s="10">
        <v>46125.607291666667</v>
      </c>
    </row>
    <row r="1109" spans="1:8" x14ac:dyDescent="0.25">
      <c r="A1109">
        <v>1115</v>
      </c>
      <c r="B1109" t="s">
        <v>954</v>
      </c>
      <c r="C1109" t="s">
        <v>569</v>
      </c>
      <c r="D1109">
        <v>55</v>
      </c>
      <c r="E1109" t="s">
        <v>10</v>
      </c>
      <c r="F1109" t="s">
        <v>33</v>
      </c>
      <c r="G1109" t="s">
        <v>80</v>
      </c>
      <c r="H1109" s="10">
        <v>46125.607546296298</v>
      </c>
    </row>
    <row r="1110" spans="1:8" x14ac:dyDescent="0.25">
      <c r="A1110">
        <v>1116</v>
      </c>
      <c r="B1110" t="s">
        <v>420</v>
      </c>
      <c r="C1110" t="s">
        <v>394</v>
      </c>
      <c r="D1110">
        <v>23</v>
      </c>
      <c r="E1110" t="s">
        <v>10</v>
      </c>
      <c r="F1110" t="s">
        <v>15</v>
      </c>
      <c r="G1110" t="s">
        <v>76</v>
      </c>
      <c r="H1110" s="10">
        <v>46125.608194444445</v>
      </c>
    </row>
    <row r="1111" spans="1:8" x14ac:dyDescent="0.25">
      <c r="A1111">
        <v>1117</v>
      </c>
      <c r="B1111" t="s">
        <v>836</v>
      </c>
      <c r="C1111" t="s">
        <v>955</v>
      </c>
      <c r="D1111">
        <v>59</v>
      </c>
      <c r="E1111" t="s">
        <v>19</v>
      </c>
      <c r="F1111" t="s">
        <v>15</v>
      </c>
      <c r="G1111" t="s">
        <v>42</v>
      </c>
      <c r="H1111" s="10">
        <v>46125.60832175926</v>
      </c>
    </row>
    <row r="1112" spans="1:8" x14ac:dyDescent="0.25">
      <c r="A1112">
        <v>1118</v>
      </c>
      <c r="B1112" t="s">
        <v>81</v>
      </c>
      <c r="C1112" t="s">
        <v>174</v>
      </c>
      <c r="D1112">
        <v>60</v>
      </c>
      <c r="E1112" t="s">
        <v>19</v>
      </c>
      <c r="F1112" t="s">
        <v>45</v>
      </c>
      <c r="G1112" t="s">
        <v>42</v>
      </c>
      <c r="H1112" s="10">
        <v>46125.608807870369</v>
      </c>
    </row>
    <row r="1113" spans="1:8" x14ac:dyDescent="0.25">
      <c r="A1113">
        <v>1119</v>
      </c>
      <c r="B1113" t="s">
        <v>956</v>
      </c>
      <c r="C1113" t="s">
        <v>957</v>
      </c>
      <c r="D1113">
        <v>63</v>
      </c>
      <c r="E1113" t="s">
        <v>26</v>
      </c>
      <c r="F1113" t="s">
        <v>29</v>
      </c>
      <c r="G1113" t="s">
        <v>54</v>
      </c>
      <c r="H1113" s="10">
        <v>46125.609201388892</v>
      </c>
    </row>
    <row r="1114" spans="1:8" x14ac:dyDescent="0.25">
      <c r="A1114">
        <v>1120</v>
      </c>
      <c r="B1114" t="s">
        <v>793</v>
      </c>
      <c r="C1114" t="s">
        <v>611</v>
      </c>
      <c r="D1114">
        <v>30</v>
      </c>
      <c r="E1114" t="s">
        <v>26</v>
      </c>
      <c r="F1114" t="s">
        <v>29</v>
      </c>
      <c r="G1114" t="s">
        <v>42</v>
      </c>
      <c r="H1114" s="10">
        <v>46125.609849537039</v>
      </c>
    </row>
    <row r="1115" spans="1:8" x14ac:dyDescent="0.25">
      <c r="A1115">
        <v>1121</v>
      </c>
      <c r="B1115" t="s">
        <v>86</v>
      </c>
      <c r="C1115" t="s">
        <v>299</v>
      </c>
      <c r="D1115">
        <v>40</v>
      </c>
      <c r="E1115" t="s">
        <v>26</v>
      </c>
      <c r="F1115" t="s">
        <v>20</v>
      </c>
      <c r="G1115" t="s">
        <v>39</v>
      </c>
      <c r="H1115" s="10">
        <v>46125.610138888886</v>
      </c>
    </row>
    <row r="1116" spans="1:8" x14ac:dyDescent="0.25">
      <c r="A1116">
        <v>1122</v>
      </c>
      <c r="B1116" t="s">
        <v>122</v>
      </c>
      <c r="C1116" t="s">
        <v>91</v>
      </c>
      <c r="D1116">
        <v>69</v>
      </c>
      <c r="E1116" t="s">
        <v>26</v>
      </c>
      <c r="F1116" t="s">
        <v>11</v>
      </c>
      <c r="G1116" t="s">
        <v>12</v>
      </c>
      <c r="H1116" s="10">
        <v>46125.610567129632</v>
      </c>
    </row>
    <row r="1117" spans="1:8" x14ac:dyDescent="0.25">
      <c r="A1117">
        <v>1123</v>
      </c>
      <c r="B1117" t="s">
        <v>468</v>
      </c>
      <c r="C1117" t="s">
        <v>464</v>
      </c>
      <c r="D1117">
        <v>33</v>
      </c>
      <c r="E1117" t="s">
        <v>26</v>
      </c>
      <c r="F1117" t="s">
        <v>15</v>
      </c>
      <c r="G1117" t="s">
        <v>114</v>
      </c>
      <c r="H1117" s="10">
        <v>46125.611238425925</v>
      </c>
    </row>
    <row r="1118" spans="1:8" x14ac:dyDescent="0.25">
      <c r="A1118">
        <v>1124</v>
      </c>
      <c r="B1118" t="s">
        <v>431</v>
      </c>
      <c r="C1118" t="s">
        <v>139</v>
      </c>
      <c r="D1118">
        <v>48</v>
      </c>
      <c r="E1118" t="s">
        <v>10</v>
      </c>
      <c r="F1118" t="s">
        <v>15</v>
      </c>
      <c r="G1118" t="s">
        <v>70</v>
      </c>
      <c r="H1118" s="10">
        <v>46125.611851851849</v>
      </c>
    </row>
    <row r="1119" spans="1:8" x14ac:dyDescent="0.25">
      <c r="A1119">
        <v>1125</v>
      </c>
      <c r="B1119" t="s">
        <v>803</v>
      </c>
      <c r="C1119" t="s">
        <v>745</v>
      </c>
      <c r="D1119">
        <v>18</v>
      </c>
      <c r="E1119" t="s">
        <v>26</v>
      </c>
      <c r="F1119" t="s">
        <v>15</v>
      </c>
      <c r="G1119" t="s">
        <v>46</v>
      </c>
      <c r="H1119" s="10">
        <v>46125.611967592595</v>
      </c>
    </row>
    <row r="1120" spans="1:8" x14ac:dyDescent="0.25">
      <c r="A1120">
        <v>1126</v>
      </c>
      <c r="B1120" t="s">
        <v>238</v>
      </c>
      <c r="C1120" t="s">
        <v>646</v>
      </c>
      <c r="D1120">
        <v>59</v>
      </c>
      <c r="E1120" t="s">
        <v>26</v>
      </c>
      <c r="F1120" t="s">
        <v>73</v>
      </c>
      <c r="G1120" t="s">
        <v>46</v>
      </c>
      <c r="H1120" s="10">
        <v>46125.612222222226</v>
      </c>
    </row>
    <row r="1121" spans="1:8" x14ac:dyDescent="0.25">
      <c r="A1121">
        <v>1127</v>
      </c>
      <c r="B1121" t="s">
        <v>270</v>
      </c>
      <c r="C1121" t="s">
        <v>77</v>
      </c>
      <c r="D1121">
        <v>37</v>
      </c>
      <c r="E1121" t="s">
        <v>26</v>
      </c>
      <c r="F1121" t="s">
        <v>15</v>
      </c>
      <c r="G1121" t="s">
        <v>80</v>
      </c>
      <c r="H1121" s="10">
        <v>46125.61273148148</v>
      </c>
    </row>
    <row r="1122" spans="1:8" x14ac:dyDescent="0.25">
      <c r="A1122">
        <v>1128</v>
      </c>
      <c r="B1122" t="s">
        <v>641</v>
      </c>
      <c r="C1122" t="s">
        <v>958</v>
      </c>
      <c r="D1122">
        <v>19</v>
      </c>
      <c r="E1122" t="s">
        <v>26</v>
      </c>
      <c r="F1122" t="s">
        <v>45</v>
      </c>
      <c r="G1122" t="s">
        <v>76</v>
      </c>
      <c r="H1122" s="10">
        <v>46125.612939814811</v>
      </c>
    </row>
    <row r="1123" spans="1:8" x14ac:dyDescent="0.25">
      <c r="A1123">
        <v>1129</v>
      </c>
      <c r="B1123" t="s">
        <v>551</v>
      </c>
      <c r="C1123" t="s">
        <v>44</v>
      </c>
      <c r="D1123">
        <v>36</v>
      </c>
      <c r="E1123" t="s">
        <v>10</v>
      </c>
      <c r="F1123" t="s">
        <v>20</v>
      </c>
      <c r="G1123" t="s">
        <v>54</v>
      </c>
      <c r="H1123" s="10">
        <v>46125.613310185188</v>
      </c>
    </row>
    <row r="1124" spans="1:8" x14ac:dyDescent="0.25">
      <c r="A1124">
        <v>1130</v>
      </c>
      <c r="B1124" t="s">
        <v>959</v>
      </c>
      <c r="C1124" t="s">
        <v>211</v>
      </c>
      <c r="D1124">
        <v>69</v>
      </c>
      <c r="E1124" t="s">
        <v>26</v>
      </c>
      <c r="F1124" t="s">
        <v>15</v>
      </c>
      <c r="G1124" t="s">
        <v>76</v>
      </c>
      <c r="H1124" s="10">
        <v>46125.613425925927</v>
      </c>
    </row>
    <row r="1125" spans="1:8" x14ac:dyDescent="0.25">
      <c r="A1125">
        <v>1131</v>
      </c>
      <c r="B1125" t="s">
        <v>184</v>
      </c>
      <c r="C1125" t="s">
        <v>627</v>
      </c>
      <c r="D1125">
        <v>51</v>
      </c>
      <c r="E1125" t="s">
        <v>19</v>
      </c>
      <c r="F1125" t="s">
        <v>11</v>
      </c>
      <c r="G1125" t="s">
        <v>23</v>
      </c>
      <c r="H1125" s="10">
        <v>46125.613819444443</v>
      </c>
    </row>
    <row r="1126" spans="1:8" x14ac:dyDescent="0.25">
      <c r="A1126">
        <v>1132</v>
      </c>
      <c r="B1126" t="s">
        <v>362</v>
      </c>
      <c r="C1126" t="s">
        <v>960</v>
      </c>
      <c r="D1126">
        <v>37</v>
      </c>
      <c r="E1126" t="s">
        <v>19</v>
      </c>
      <c r="F1126" t="s">
        <v>15</v>
      </c>
      <c r="G1126" t="s">
        <v>23</v>
      </c>
      <c r="H1126" s="10">
        <v>46125.614386574074</v>
      </c>
    </row>
    <row r="1127" spans="1:8" x14ac:dyDescent="0.25">
      <c r="A1127">
        <v>1133</v>
      </c>
      <c r="B1127" t="s">
        <v>425</v>
      </c>
      <c r="C1127" t="s">
        <v>932</v>
      </c>
      <c r="D1127">
        <v>26</v>
      </c>
      <c r="E1127" t="s">
        <v>19</v>
      </c>
      <c r="F1127" t="s">
        <v>29</v>
      </c>
      <c r="G1127" t="s">
        <v>42</v>
      </c>
      <c r="H1127" s="10">
        <v>46125.615023148152</v>
      </c>
    </row>
    <row r="1128" spans="1:8" x14ac:dyDescent="0.25">
      <c r="A1128">
        <v>1134</v>
      </c>
      <c r="B1128" t="s">
        <v>961</v>
      </c>
      <c r="C1128" t="s">
        <v>139</v>
      </c>
      <c r="D1128">
        <v>35</v>
      </c>
      <c r="E1128" t="s">
        <v>19</v>
      </c>
      <c r="F1128" t="s">
        <v>29</v>
      </c>
      <c r="G1128" t="s">
        <v>54</v>
      </c>
      <c r="H1128" s="10">
        <v>46125.615520833337</v>
      </c>
    </row>
    <row r="1129" spans="1:8" x14ac:dyDescent="0.25">
      <c r="A1129">
        <v>1135</v>
      </c>
      <c r="B1129" t="s">
        <v>43</v>
      </c>
      <c r="C1129" t="s">
        <v>446</v>
      </c>
      <c r="D1129">
        <v>30</v>
      </c>
      <c r="E1129" t="s">
        <v>19</v>
      </c>
      <c r="F1129" t="s">
        <v>15</v>
      </c>
      <c r="G1129" t="s">
        <v>36</v>
      </c>
      <c r="H1129" s="10">
        <v>46125.616053240738</v>
      </c>
    </row>
    <row r="1130" spans="1:8" x14ac:dyDescent="0.25">
      <c r="A1130">
        <v>1136</v>
      </c>
      <c r="B1130" t="s">
        <v>675</v>
      </c>
      <c r="C1130" t="s">
        <v>962</v>
      </c>
      <c r="D1130">
        <v>51</v>
      </c>
      <c r="E1130" t="s">
        <v>26</v>
      </c>
      <c r="F1130" t="s">
        <v>45</v>
      </c>
      <c r="G1130" t="s">
        <v>16</v>
      </c>
      <c r="H1130" s="10">
        <v>46125.616469907407</v>
      </c>
    </row>
    <row r="1131" spans="1:8" x14ac:dyDescent="0.25">
      <c r="A1131">
        <v>1137</v>
      </c>
      <c r="B1131" t="s">
        <v>199</v>
      </c>
      <c r="C1131" t="s">
        <v>729</v>
      </c>
      <c r="D1131">
        <v>46</v>
      </c>
      <c r="E1131" t="s">
        <v>26</v>
      </c>
      <c r="F1131" t="s">
        <v>33</v>
      </c>
      <c r="G1131" t="s">
        <v>130</v>
      </c>
      <c r="H1131" s="10">
        <v>46125.616608796299</v>
      </c>
    </row>
    <row r="1132" spans="1:8" x14ac:dyDescent="0.25">
      <c r="A1132">
        <v>1138</v>
      </c>
      <c r="B1132" t="s">
        <v>963</v>
      </c>
      <c r="C1132" t="s">
        <v>222</v>
      </c>
      <c r="D1132">
        <v>38</v>
      </c>
      <c r="E1132" t="s">
        <v>19</v>
      </c>
      <c r="F1132" t="s">
        <v>15</v>
      </c>
      <c r="G1132" t="s">
        <v>16</v>
      </c>
      <c r="H1132" s="10">
        <v>46125.616979166669</v>
      </c>
    </row>
    <row r="1133" spans="1:8" x14ac:dyDescent="0.25">
      <c r="A1133">
        <v>1139</v>
      </c>
      <c r="B1133" t="s">
        <v>964</v>
      </c>
      <c r="C1133" t="s">
        <v>273</v>
      </c>
      <c r="D1133">
        <v>42</v>
      </c>
      <c r="E1133" t="s">
        <v>10</v>
      </c>
      <c r="F1133" t="s">
        <v>15</v>
      </c>
      <c r="G1133" t="s">
        <v>80</v>
      </c>
      <c r="H1133" s="10">
        <v>46125.617476851854</v>
      </c>
    </row>
    <row r="1134" spans="1:8" x14ac:dyDescent="0.25">
      <c r="A1134">
        <v>1140</v>
      </c>
      <c r="B1134" t="s">
        <v>965</v>
      </c>
      <c r="C1134" t="s">
        <v>389</v>
      </c>
      <c r="D1134">
        <v>22</v>
      </c>
      <c r="E1134" t="s">
        <v>26</v>
      </c>
      <c r="F1134" t="s">
        <v>11</v>
      </c>
      <c r="G1134" t="s">
        <v>70</v>
      </c>
      <c r="H1134" s="10">
        <v>46125.618020833332</v>
      </c>
    </row>
    <row r="1135" spans="1:8" x14ac:dyDescent="0.25">
      <c r="A1135">
        <v>1141</v>
      </c>
      <c r="B1135" t="s">
        <v>966</v>
      </c>
      <c r="C1135" t="s">
        <v>496</v>
      </c>
      <c r="D1135">
        <v>66</v>
      </c>
      <c r="E1135" t="s">
        <v>19</v>
      </c>
      <c r="F1135" t="s">
        <v>73</v>
      </c>
      <c r="G1135" t="s">
        <v>57</v>
      </c>
      <c r="H1135" s="10">
        <v>46125.618657407409</v>
      </c>
    </row>
    <row r="1136" spans="1:8" x14ac:dyDescent="0.25">
      <c r="A1136">
        <v>1142</v>
      </c>
      <c r="B1136" t="s">
        <v>112</v>
      </c>
      <c r="C1136" t="s">
        <v>122</v>
      </c>
      <c r="D1136">
        <v>46</v>
      </c>
      <c r="E1136" t="s">
        <v>19</v>
      </c>
      <c r="F1136" t="s">
        <v>29</v>
      </c>
      <c r="G1136" t="s">
        <v>114</v>
      </c>
      <c r="H1136" s="10">
        <v>46125.619108796294</v>
      </c>
    </row>
    <row r="1137" spans="1:8" x14ac:dyDescent="0.25">
      <c r="A1137">
        <v>1143</v>
      </c>
      <c r="B1137" t="s">
        <v>362</v>
      </c>
      <c r="C1137" t="s">
        <v>128</v>
      </c>
      <c r="D1137">
        <v>64</v>
      </c>
      <c r="E1137" t="s">
        <v>26</v>
      </c>
      <c r="F1137" t="s">
        <v>45</v>
      </c>
      <c r="G1137" t="s">
        <v>80</v>
      </c>
      <c r="H1137" s="10">
        <v>46125.61922453704</v>
      </c>
    </row>
    <row r="1138" spans="1:8" x14ac:dyDescent="0.25">
      <c r="A1138">
        <v>1144</v>
      </c>
      <c r="B1138" t="s">
        <v>162</v>
      </c>
      <c r="C1138" t="s">
        <v>352</v>
      </c>
      <c r="D1138">
        <v>42</v>
      </c>
      <c r="E1138" t="s">
        <v>26</v>
      </c>
      <c r="F1138" t="s">
        <v>33</v>
      </c>
      <c r="G1138" t="s">
        <v>12</v>
      </c>
      <c r="H1138" s="10">
        <v>46125.619664351849</v>
      </c>
    </row>
    <row r="1139" spans="1:8" x14ac:dyDescent="0.25">
      <c r="A1139">
        <v>1145</v>
      </c>
      <c r="B1139" t="s">
        <v>641</v>
      </c>
      <c r="C1139" t="s">
        <v>75</v>
      </c>
      <c r="D1139">
        <v>66</v>
      </c>
      <c r="E1139" t="s">
        <v>10</v>
      </c>
      <c r="F1139" t="s">
        <v>73</v>
      </c>
      <c r="G1139" t="s">
        <v>99</v>
      </c>
      <c r="H1139" s="10">
        <v>46125.619884259257</v>
      </c>
    </row>
    <row r="1140" spans="1:8" x14ac:dyDescent="0.25">
      <c r="A1140">
        <v>1146</v>
      </c>
      <c r="B1140" t="s">
        <v>218</v>
      </c>
      <c r="C1140" t="s">
        <v>273</v>
      </c>
      <c r="D1140">
        <v>18</v>
      </c>
      <c r="E1140" t="s">
        <v>10</v>
      </c>
      <c r="F1140" t="s">
        <v>29</v>
      </c>
      <c r="G1140" t="s">
        <v>51</v>
      </c>
      <c r="H1140" s="10">
        <v>46125.620312500003</v>
      </c>
    </row>
    <row r="1141" spans="1:8" x14ac:dyDescent="0.25">
      <c r="A1141">
        <v>1147</v>
      </c>
      <c r="B1141" t="s">
        <v>13</v>
      </c>
      <c r="C1141" t="s">
        <v>113</v>
      </c>
      <c r="D1141">
        <v>63</v>
      </c>
      <c r="E1141" t="s">
        <v>10</v>
      </c>
      <c r="F1141" t="s">
        <v>45</v>
      </c>
      <c r="G1141" t="s">
        <v>130</v>
      </c>
      <c r="H1141" s="10">
        <v>46125.620995370373</v>
      </c>
    </row>
    <row r="1142" spans="1:8" x14ac:dyDescent="0.25">
      <c r="A1142">
        <v>1148</v>
      </c>
      <c r="B1142" t="s">
        <v>465</v>
      </c>
      <c r="C1142" t="s">
        <v>224</v>
      </c>
      <c r="D1142">
        <v>28</v>
      </c>
      <c r="E1142" t="s">
        <v>19</v>
      </c>
      <c r="F1142" t="s">
        <v>20</v>
      </c>
      <c r="G1142" t="s">
        <v>70</v>
      </c>
      <c r="H1142" s="10">
        <v>46125.621157407404</v>
      </c>
    </row>
    <row r="1143" spans="1:8" x14ac:dyDescent="0.25">
      <c r="A1143">
        <v>1149</v>
      </c>
      <c r="B1143" t="s">
        <v>175</v>
      </c>
      <c r="C1143" t="s">
        <v>193</v>
      </c>
      <c r="D1143">
        <v>62</v>
      </c>
      <c r="E1143" t="s">
        <v>26</v>
      </c>
      <c r="F1143" t="s">
        <v>15</v>
      </c>
      <c r="G1143" t="s">
        <v>80</v>
      </c>
      <c r="H1143" s="10">
        <v>46125.621817129628</v>
      </c>
    </row>
    <row r="1144" spans="1:8" x14ac:dyDescent="0.25">
      <c r="A1144">
        <v>1150</v>
      </c>
      <c r="B1144" t="s">
        <v>967</v>
      </c>
      <c r="C1144" t="s">
        <v>480</v>
      </c>
      <c r="D1144">
        <v>24</v>
      </c>
      <c r="E1144" t="s">
        <v>26</v>
      </c>
      <c r="F1144" t="s">
        <v>45</v>
      </c>
      <c r="G1144" t="s">
        <v>68</v>
      </c>
      <c r="H1144" s="10">
        <v>46125.622118055559</v>
      </c>
    </row>
    <row r="1145" spans="1:8" x14ac:dyDescent="0.25">
      <c r="A1145">
        <v>1151</v>
      </c>
      <c r="B1145" t="s">
        <v>8</v>
      </c>
      <c r="C1145" t="s">
        <v>743</v>
      </c>
      <c r="D1145">
        <v>25</v>
      </c>
      <c r="E1145" t="s">
        <v>10</v>
      </c>
      <c r="F1145" t="s">
        <v>29</v>
      </c>
      <c r="G1145" t="s">
        <v>12</v>
      </c>
      <c r="H1145" s="10">
        <v>46125.622662037036</v>
      </c>
    </row>
    <row r="1146" spans="1:8" x14ac:dyDescent="0.25">
      <c r="A1146">
        <v>1152</v>
      </c>
      <c r="B1146" t="s">
        <v>968</v>
      </c>
      <c r="C1146" t="s">
        <v>969</v>
      </c>
      <c r="D1146">
        <v>66</v>
      </c>
      <c r="E1146" t="s">
        <v>26</v>
      </c>
      <c r="F1146" t="s">
        <v>20</v>
      </c>
      <c r="G1146" t="s">
        <v>42</v>
      </c>
      <c r="H1146" s="10">
        <v>46125.623078703706</v>
      </c>
    </row>
    <row r="1147" spans="1:8" x14ac:dyDescent="0.25">
      <c r="A1147">
        <v>1153</v>
      </c>
      <c r="B1147" t="s">
        <v>771</v>
      </c>
      <c r="C1147" t="s">
        <v>177</v>
      </c>
      <c r="D1147">
        <v>22</v>
      </c>
      <c r="E1147" t="s">
        <v>26</v>
      </c>
      <c r="F1147" t="s">
        <v>15</v>
      </c>
      <c r="G1147" t="s">
        <v>114</v>
      </c>
      <c r="H1147" s="10">
        <v>46125.623749999999</v>
      </c>
    </row>
    <row r="1148" spans="1:8" x14ac:dyDescent="0.25">
      <c r="A1148">
        <v>1154</v>
      </c>
      <c r="B1148" t="s">
        <v>88</v>
      </c>
      <c r="C1148" t="s">
        <v>780</v>
      </c>
      <c r="D1148">
        <v>23</v>
      </c>
      <c r="E1148" t="s">
        <v>19</v>
      </c>
      <c r="F1148" t="s">
        <v>33</v>
      </c>
      <c r="G1148" t="s">
        <v>30</v>
      </c>
      <c r="H1148" s="10">
        <v>46125.62400462963</v>
      </c>
    </row>
    <row r="1149" spans="1:8" x14ac:dyDescent="0.25">
      <c r="A1149">
        <v>1155</v>
      </c>
      <c r="B1149" t="s">
        <v>599</v>
      </c>
      <c r="C1149" t="s">
        <v>403</v>
      </c>
      <c r="D1149">
        <v>48</v>
      </c>
      <c r="E1149" t="s">
        <v>19</v>
      </c>
      <c r="F1149" t="s">
        <v>33</v>
      </c>
      <c r="G1149" t="s">
        <v>133</v>
      </c>
      <c r="H1149" s="10">
        <v>46125.624652777777</v>
      </c>
    </row>
    <row r="1150" spans="1:8" x14ac:dyDescent="0.25">
      <c r="A1150">
        <v>1156</v>
      </c>
      <c r="B1150" t="s">
        <v>970</v>
      </c>
      <c r="C1150" t="s">
        <v>301</v>
      </c>
      <c r="D1150">
        <v>31</v>
      </c>
      <c r="E1150" t="s">
        <v>26</v>
      </c>
      <c r="F1150" t="s">
        <v>11</v>
      </c>
      <c r="G1150" t="s">
        <v>16</v>
      </c>
      <c r="H1150" s="10">
        <v>46125.624988425923</v>
      </c>
    </row>
    <row r="1151" spans="1:8" x14ac:dyDescent="0.25">
      <c r="A1151">
        <v>1157</v>
      </c>
      <c r="B1151" t="s">
        <v>491</v>
      </c>
      <c r="C1151" t="s">
        <v>928</v>
      </c>
      <c r="D1151">
        <v>51</v>
      </c>
      <c r="E1151" t="s">
        <v>19</v>
      </c>
      <c r="F1151" t="s">
        <v>29</v>
      </c>
      <c r="G1151" t="s">
        <v>42</v>
      </c>
      <c r="H1151" s="10">
        <v>46125.625335648147</v>
      </c>
    </row>
    <row r="1152" spans="1:8" x14ac:dyDescent="0.25">
      <c r="A1152">
        <v>1158</v>
      </c>
      <c r="B1152" t="s">
        <v>63</v>
      </c>
      <c r="C1152" t="s">
        <v>539</v>
      </c>
      <c r="D1152">
        <v>37</v>
      </c>
      <c r="E1152" t="s">
        <v>10</v>
      </c>
      <c r="F1152" t="s">
        <v>11</v>
      </c>
      <c r="G1152" t="s">
        <v>12</v>
      </c>
      <c r="H1152" s="10">
        <v>46125.625451388885</v>
      </c>
    </row>
    <row r="1153" spans="1:8" x14ac:dyDescent="0.25">
      <c r="A1153">
        <v>1159</v>
      </c>
      <c r="B1153" t="s">
        <v>632</v>
      </c>
      <c r="C1153" t="s">
        <v>971</v>
      </c>
      <c r="D1153">
        <v>45</v>
      </c>
      <c r="E1153" t="s">
        <v>19</v>
      </c>
      <c r="F1153" t="s">
        <v>45</v>
      </c>
      <c r="G1153" t="s">
        <v>68</v>
      </c>
      <c r="H1153" s="10">
        <v>46125.625949074078</v>
      </c>
    </row>
    <row r="1154" spans="1:8" x14ac:dyDescent="0.25">
      <c r="A1154">
        <v>1160</v>
      </c>
      <c r="B1154" t="s">
        <v>520</v>
      </c>
      <c r="C1154" t="s">
        <v>951</v>
      </c>
      <c r="D1154">
        <v>34</v>
      </c>
      <c r="E1154" t="s">
        <v>19</v>
      </c>
      <c r="F1154" t="s">
        <v>33</v>
      </c>
      <c r="G1154" t="s">
        <v>114</v>
      </c>
      <c r="H1154" s="10">
        <v>46125.626435185186</v>
      </c>
    </row>
    <row r="1155" spans="1:8" x14ac:dyDescent="0.25">
      <c r="A1155">
        <v>1161</v>
      </c>
      <c r="B1155" t="s">
        <v>491</v>
      </c>
      <c r="C1155" t="s">
        <v>435</v>
      </c>
      <c r="D1155">
        <v>46</v>
      </c>
      <c r="E1155" t="s">
        <v>26</v>
      </c>
      <c r="F1155" t="s">
        <v>15</v>
      </c>
      <c r="G1155" t="s">
        <v>80</v>
      </c>
      <c r="H1155" s="10">
        <v>46125.62672453704</v>
      </c>
    </row>
    <row r="1156" spans="1:8" x14ac:dyDescent="0.25">
      <c r="A1156">
        <v>1162</v>
      </c>
      <c r="B1156" t="s">
        <v>182</v>
      </c>
      <c r="C1156" t="s">
        <v>335</v>
      </c>
      <c r="D1156">
        <v>67</v>
      </c>
      <c r="E1156" t="s">
        <v>26</v>
      </c>
      <c r="F1156" t="s">
        <v>11</v>
      </c>
      <c r="G1156" t="s">
        <v>42</v>
      </c>
      <c r="H1156" s="10">
        <v>46125.626967592594</v>
      </c>
    </row>
    <row r="1157" spans="1:8" x14ac:dyDescent="0.25">
      <c r="A1157">
        <v>1163</v>
      </c>
      <c r="B1157" t="s">
        <v>972</v>
      </c>
      <c r="C1157" t="s">
        <v>973</v>
      </c>
      <c r="D1157">
        <v>35</v>
      </c>
      <c r="E1157" t="s">
        <v>19</v>
      </c>
      <c r="F1157" t="s">
        <v>45</v>
      </c>
      <c r="G1157" t="s">
        <v>99</v>
      </c>
      <c r="H1157" s="10">
        <v>46125.627210648148</v>
      </c>
    </row>
    <row r="1158" spans="1:8" x14ac:dyDescent="0.25">
      <c r="A1158">
        <v>1164</v>
      </c>
      <c r="B1158" t="s">
        <v>974</v>
      </c>
      <c r="C1158" t="s">
        <v>728</v>
      </c>
      <c r="D1158">
        <v>28</v>
      </c>
      <c r="E1158" t="s">
        <v>26</v>
      </c>
      <c r="F1158" t="s">
        <v>11</v>
      </c>
      <c r="G1158" t="s">
        <v>16</v>
      </c>
      <c r="H1158" s="10">
        <v>46125.627812500003</v>
      </c>
    </row>
    <row r="1159" spans="1:8" x14ac:dyDescent="0.25">
      <c r="A1159">
        <v>1165</v>
      </c>
      <c r="B1159" t="s">
        <v>672</v>
      </c>
      <c r="C1159" t="s">
        <v>975</v>
      </c>
      <c r="D1159">
        <v>41</v>
      </c>
      <c r="E1159" t="s">
        <v>26</v>
      </c>
      <c r="F1159" t="s">
        <v>29</v>
      </c>
      <c r="G1159" t="s">
        <v>12</v>
      </c>
      <c r="H1159" s="10">
        <v>46125.628506944442</v>
      </c>
    </row>
    <row r="1160" spans="1:8" x14ac:dyDescent="0.25">
      <c r="A1160">
        <v>1166</v>
      </c>
      <c r="B1160" t="s">
        <v>122</v>
      </c>
      <c r="C1160" t="s">
        <v>517</v>
      </c>
      <c r="D1160">
        <v>32</v>
      </c>
      <c r="E1160" t="s">
        <v>10</v>
      </c>
      <c r="F1160" t="s">
        <v>20</v>
      </c>
      <c r="G1160" t="s">
        <v>30</v>
      </c>
      <c r="H1160" s="10">
        <v>46125.628993055558</v>
      </c>
    </row>
    <row r="1161" spans="1:8" x14ac:dyDescent="0.25">
      <c r="A1161">
        <v>1167</v>
      </c>
      <c r="B1161" t="s">
        <v>351</v>
      </c>
      <c r="C1161" t="s">
        <v>976</v>
      </c>
      <c r="D1161">
        <v>68</v>
      </c>
      <c r="E1161" t="s">
        <v>10</v>
      </c>
      <c r="F1161" t="s">
        <v>73</v>
      </c>
      <c r="G1161" t="s">
        <v>65</v>
      </c>
      <c r="H1161" s="10">
        <v>46125.629328703704</v>
      </c>
    </row>
    <row r="1162" spans="1:8" x14ac:dyDescent="0.25">
      <c r="A1162">
        <v>1168</v>
      </c>
      <c r="B1162" t="s">
        <v>119</v>
      </c>
      <c r="C1162" t="s">
        <v>139</v>
      </c>
      <c r="D1162">
        <v>66</v>
      </c>
      <c r="E1162" t="s">
        <v>10</v>
      </c>
      <c r="F1162" t="s">
        <v>33</v>
      </c>
      <c r="G1162" t="s">
        <v>30</v>
      </c>
      <c r="H1162" s="10">
        <v>46125.629606481481</v>
      </c>
    </row>
    <row r="1163" spans="1:8" x14ac:dyDescent="0.25">
      <c r="A1163">
        <v>1169</v>
      </c>
      <c r="B1163" t="s">
        <v>481</v>
      </c>
      <c r="C1163" t="s">
        <v>301</v>
      </c>
      <c r="D1163">
        <v>68</v>
      </c>
      <c r="E1163" t="s">
        <v>19</v>
      </c>
      <c r="F1163" t="s">
        <v>73</v>
      </c>
      <c r="G1163" t="s">
        <v>54</v>
      </c>
      <c r="H1163" s="10">
        <v>46125.62972222222</v>
      </c>
    </row>
    <row r="1164" spans="1:8" x14ac:dyDescent="0.25">
      <c r="A1164">
        <v>1170</v>
      </c>
      <c r="B1164" t="s">
        <v>78</v>
      </c>
      <c r="C1164" t="s">
        <v>977</v>
      </c>
      <c r="D1164">
        <v>20</v>
      </c>
      <c r="E1164" t="s">
        <v>26</v>
      </c>
      <c r="F1164" t="s">
        <v>33</v>
      </c>
      <c r="G1164" t="s">
        <v>30</v>
      </c>
      <c r="H1164" s="10">
        <v>46125.63</v>
      </c>
    </row>
    <row r="1165" spans="1:8" x14ac:dyDescent="0.25">
      <c r="A1165">
        <v>1171</v>
      </c>
      <c r="B1165" t="s">
        <v>978</v>
      </c>
      <c r="C1165" t="s">
        <v>273</v>
      </c>
      <c r="D1165">
        <v>54</v>
      </c>
      <c r="E1165" t="s">
        <v>19</v>
      </c>
      <c r="F1165" t="s">
        <v>29</v>
      </c>
      <c r="G1165" t="s">
        <v>16</v>
      </c>
      <c r="H1165" s="10">
        <v>46125.63045138889</v>
      </c>
    </row>
    <row r="1166" spans="1:8" x14ac:dyDescent="0.25">
      <c r="A1166">
        <v>1172</v>
      </c>
      <c r="B1166" t="s">
        <v>344</v>
      </c>
      <c r="C1166" t="s">
        <v>87</v>
      </c>
      <c r="D1166">
        <v>38</v>
      </c>
      <c r="E1166" t="s">
        <v>10</v>
      </c>
      <c r="F1166" t="s">
        <v>11</v>
      </c>
      <c r="G1166" t="s">
        <v>12</v>
      </c>
      <c r="H1166" s="10">
        <v>46125.630960648145</v>
      </c>
    </row>
    <row r="1167" spans="1:8" x14ac:dyDescent="0.25">
      <c r="A1167">
        <v>1173</v>
      </c>
      <c r="B1167" t="s">
        <v>108</v>
      </c>
      <c r="C1167" t="s">
        <v>22</v>
      </c>
      <c r="D1167">
        <v>22</v>
      </c>
      <c r="E1167" t="s">
        <v>26</v>
      </c>
      <c r="F1167" t="s">
        <v>15</v>
      </c>
      <c r="G1167" t="s">
        <v>133</v>
      </c>
      <c r="H1167" s="10">
        <v>46125.631365740737</v>
      </c>
    </row>
    <row r="1168" spans="1:8" x14ac:dyDescent="0.25">
      <c r="A1168">
        <v>1174</v>
      </c>
      <c r="B1168" t="s">
        <v>13</v>
      </c>
      <c r="C1168" t="s">
        <v>979</v>
      </c>
      <c r="D1168">
        <v>34</v>
      </c>
      <c r="E1168" t="s">
        <v>26</v>
      </c>
      <c r="F1168" t="s">
        <v>20</v>
      </c>
      <c r="G1168" t="s">
        <v>30</v>
      </c>
      <c r="H1168" s="10">
        <v>46125.631504629629</v>
      </c>
    </row>
    <row r="1169" spans="1:8" x14ac:dyDescent="0.25">
      <c r="A1169">
        <v>1175</v>
      </c>
      <c r="B1169" t="s">
        <v>835</v>
      </c>
      <c r="C1169" t="s">
        <v>676</v>
      </c>
      <c r="D1169">
        <v>66</v>
      </c>
      <c r="E1169" t="s">
        <v>19</v>
      </c>
      <c r="F1169" t="s">
        <v>73</v>
      </c>
      <c r="G1169" t="s">
        <v>16</v>
      </c>
      <c r="H1169" s="10">
        <v>46125.631689814814</v>
      </c>
    </row>
    <row r="1170" spans="1:8" x14ac:dyDescent="0.25">
      <c r="A1170">
        <v>1176</v>
      </c>
      <c r="B1170" t="s">
        <v>553</v>
      </c>
      <c r="C1170" t="s">
        <v>332</v>
      </c>
      <c r="D1170">
        <v>37</v>
      </c>
      <c r="E1170" t="s">
        <v>10</v>
      </c>
      <c r="F1170" t="s">
        <v>20</v>
      </c>
      <c r="G1170" t="s">
        <v>12</v>
      </c>
      <c r="H1170" s="10">
        <v>46125.631874999999</v>
      </c>
    </row>
    <row r="1171" spans="1:8" x14ac:dyDescent="0.25">
      <c r="A1171">
        <v>1177</v>
      </c>
      <c r="B1171" t="s">
        <v>417</v>
      </c>
      <c r="C1171" t="s">
        <v>171</v>
      </c>
      <c r="D1171">
        <v>59</v>
      </c>
      <c r="E1171" t="s">
        <v>26</v>
      </c>
      <c r="F1171" t="s">
        <v>11</v>
      </c>
      <c r="G1171" t="s">
        <v>12</v>
      </c>
      <c r="H1171" s="10">
        <v>46125.632199074076</v>
      </c>
    </row>
    <row r="1172" spans="1:8" x14ac:dyDescent="0.25">
      <c r="A1172">
        <v>1178</v>
      </c>
      <c r="B1172" t="s">
        <v>411</v>
      </c>
      <c r="C1172" t="s">
        <v>402</v>
      </c>
      <c r="D1172">
        <v>68</v>
      </c>
      <c r="E1172" t="s">
        <v>10</v>
      </c>
      <c r="F1172" t="s">
        <v>45</v>
      </c>
      <c r="G1172" t="s">
        <v>133</v>
      </c>
      <c r="H1172" s="10">
        <v>46125.632418981484</v>
      </c>
    </row>
    <row r="1173" spans="1:8" x14ac:dyDescent="0.25">
      <c r="A1173">
        <v>1179</v>
      </c>
      <c r="B1173" t="s">
        <v>630</v>
      </c>
      <c r="C1173" t="s">
        <v>434</v>
      </c>
      <c r="D1173">
        <v>35</v>
      </c>
      <c r="E1173" t="s">
        <v>26</v>
      </c>
      <c r="F1173" t="s">
        <v>20</v>
      </c>
      <c r="G1173" t="s">
        <v>23</v>
      </c>
      <c r="H1173" s="10">
        <v>46125.632986111108</v>
      </c>
    </row>
    <row r="1174" spans="1:8" x14ac:dyDescent="0.25">
      <c r="A1174">
        <v>1180</v>
      </c>
      <c r="B1174" t="s">
        <v>302</v>
      </c>
      <c r="C1174" t="s">
        <v>135</v>
      </c>
      <c r="D1174">
        <v>30</v>
      </c>
      <c r="E1174" t="s">
        <v>10</v>
      </c>
      <c r="F1174" t="s">
        <v>15</v>
      </c>
      <c r="G1174" t="s">
        <v>42</v>
      </c>
      <c r="H1174" s="10">
        <v>46125.633622685185</v>
      </c>
    </row>
    <row r="1175" spans="1:8" x14ac:dyDescent="0.25">
      <c r="A1175">
        <v>1181</v>
      </c>
      <c r="B1175" t="s">
        <v>880</v>
      </c>
      <c r="C1175" t="s">
        <v>412</v>
      </c>
      <c r="D1175">
        <v>19</v>
      </c>
      <c r="E1175" t="s">
        <v>10</v>
      </c>
      <c r="F1175" t="s">
        <v>20</v>
      </c>
      <c r="G1175" t="s">
        <v>30</v>
      </c>
      <c r="H1175" s="10">
        <v>46125.633923611109</v>
      </c>
    </row>
    <row r="1176" spans="1:8" x14ac:dyDescent="0.25">
      <c r="A1176">
        <v>1182</v>
      </c>
      <c r="B1176" t="s">
        <v>980</v>
      </c>
      <c r="C1176" t="s">
        <v>569</v>
      </c>
      <c r="D1176">
        <v>57</v>
      </c>
      <c r="E1176" t="s">
        <v>19</v>
      </c>
      <c r="F1176" t="s">
        <v>33</v>
      </c>
      <c r="G1176" t="s">
        <v>39</v>
      </c>
      <c r="H1176" s="10">
        <v>46125.634432870371</v>
      </c>
    </row>
    <row r="1177" spans="1:8" x14ac:dyDescent="0.25">
      <c r="A1177">
        <v>1183</v>
      </c>
      <c r="B1177" t="s">
        <v>93</v>
      </c>
      <c r="C1177" t="s">
        <v>981</v>
      </c>
      <c r="D1177">
        <v>55</v>
      </c>
      <c r="E1177" t="s">
        <v>19</v>
      </c>
      <c r="F1177" t="s">
        <v>73</v>
      </c>
      <c r="G1177" t="s">
        <v>65</v>
      </c>
      <c r="H1177" s="10">
        <v>46125.635104166664</v>
      </c>
    </row>
    <row r="1178" spans="1:8" x14ac:dyDescent="0.25">
      <c r="A1178">
        <v>1184</v>
      </c>
      <c r="B1178" t="s">
        <v>151</v>
      </c>
      <c r="C1178" t="s">
        <v>523</v>
      </c>
      <c r="D1178">
        <v>19</v>
      </c>
      <c r="E1178" t="s">
        <v>26</v>
      </c>
      <c r="F1178" t="s">
        <v>45</v>
      </c>
      <c r="G1178" t="s">
        <v>23</v>
      </c>
      <c r="H1178" s="10">
        <v>46125.635451388887</v>
      </c>
    </row>
    <row r="1179" spans="1:8" x14ac:dyDescent="0.25">
      <c r="A1179">
        <v>1185</v>
      </c>
      <c r="B1179" t="s">
        <v>573</v>
      </c>
      <c r="C1179" t="s">
        <v>982</v>
      </c>
      <c r="D1179">
        <v>30</v>
      </c>
      <c r="E1179" t="s">
        <v>26</v>
      </c>
      <c r="F1179" t="s">
        <v>45</v>
      </c>
      <c r="G1179" t="s">
        <v>76</v>
      </c>
      <c r="H1179" s="10">
        <v>46125.635706018518</v>
      </c>
    </row>
    <row r="1180" spans="1:8" x14ac:dyDescent="0.25">
      <c r="A1180">
        <v>1186</v>
      </c>
      <c r="B1180" t="s">
        <v>58</v>
      </c>
      <c r="C1180" t="s">
        <v>645</v>
      </c>
      <c r="D1180">
        <v>65</v>
      </c>
      <c r="E1180" t="s">
        <v>19</v>
      </c>
      <c r="F1180" t="s">
        <v>45</v>
      </c>
      <c r="G1180" t="s">
        <v>42</v>
      </c>
      <c r="H1180" s="10">
        <v>46125.636192129627</v>
      </c>
    </row>
    <row r="1181" spans="1:8" x14ac:dyDescent="0.25">
      <c r="A1181">
        <v>1187</v>
      </c>
      <c r="B1181" t="s">
        <v>97</v>
      </c>
      <c r="C1181" t="s">
        <v>500</v>
      </c>
      <c r="D1181">
        <v>63</v>
      </c>
      <c r="E1181" t="s">
        <v>19</v>
      </c>
      <c r="F1181" t="s">
        <v>73</v>
      </c>
      <c r="G1181" t="s">
        <v>68</v>
      </c>
      <c r="H1181" s="10">
        <v>46125.636805555558</v>
      </c>
    </row>
    <row r="1182" spans="1:8" x14ac:dyDescent="0.25">
      <c r="A1182">
        <v>1188</v>
      </c>
      <c r="B1182" t="s">
        <v>420</v>
      </c>
      <c r="C1182" t="s">
        <v>983</v>
      </c>
      <c r="D1182">
        <v>64</v>
      </c>
      <c r="E1182" t="s">
        <v>10</v>
      </c>
      <c r="F1182" t="s">
        <v>33</v>
      </c>
      <c r="G1182" t="s">
        <v>130</v>
      </c>
      <c r="H1182" s="10">
        <v>46125.63721064815</v>
      </c>
    </row>
    <row r="1183" spans="1:8" x14ac:dyDescent="0.25">
      <c r="A1183">
        <v>1189</v>
      </c>
      <c r="B1183" t="s">
        <v>984</v>
      </c>
      <c r="C1183" t="s">
        <v>618</v>
      </c>
      <c r="D1183">
        <v>66</v>
      </c>
      <c r="E1183" t="s">
        <v>10</v>
      </c>
      <c r="F1183" t="s">
        <v>45</v>
      </c>
      <c r="G1183" t="s">
        <v>42</v>
      </c>
      <c r="H1183" s="10">
        <v>46125.637592592589</v>
      </c>
    </row>
    <row r="1184" spans="1:8" x14ac:dyDescent="0.25">
      <c r="A1184">
        <v>1190</v>
      </c>
      <c r="B1184" t="s">
        <v>88</v>
      </c>
      <c r="C1184" t="s">
        <v>489</v>
      </c>
      <c r="D1184">
        <v>42</v>
      </c>
      <c r="E1184" t="s">
        <v>26</v>
      </c>
      <c r="F1184" t="s">
        <v>15</v>
      </c>
      <c r="G1184" t="s">
        <v>36</v>
      </c>
      <c r="H1184" s="10">
        <v>46125.638206018521</v>
      </c>
    </row>
    <row r="1185" spans="1:8" x14ac:dyDescent="0.25">
      <c r="A1185">
        <v>1191</v>
      </c>
      <c r="B1185" t="s">
        <v>420</v>
      </c>
      <c r="C1185" t="s">
        <v>897</v>
      </c>
      <c r="D1185">
        <v>58</v>
      </c>
      <c r="E1185" t="s">
        <v>19</v>
      </c>
      <c r="F1185" t="s">
        <v>11</v>
      </c>
      <c r="G1185" t="s">
        <v>54</v>
      </c>
      <c r="H1185" s="10">
        <v>46125.638437499998</v>
      </c>
    </row>
    <row r="1186" spans="1:8" x14ac:dyDescent="0.25">
      <c r="A1186">
        <v>1192</v>
      </c>
      <c r="B1186" t="s">
        <v>71</v>
      </c>
      <c r="C1186" t="s">
        <v>602</v>
      </c>
      <c r="D1186">
        <v>18</v>
      </c>
      <c r="E1186" t="s">
        <v>10</v>
      </c>
      <c r="F1186" t="s">
        <v>11</v>
      </c>
      <c r="G1186" t="s">
        <v>39</v>
      </c>
      <c r="H1186" s="10">
        <v>46125.639004629629</v>
      </c>
    </row>
    <row r="1187" spans="1:8" x14ac:dyDescent="0.25">
      <c r="A1187">
        <v>1193</v>
      </c>
      <c r="B1187" t="s">
        <v>78</v>
      </c>
      <c r="C1187" t="s">
        <v>985</v>
      </c>
      <c r="D1187">
        <v>32</v>
      </c>
      <c r="E1187" t="s">
        <v>19</v>
      </c>
      <c r="F1187" t="s">
        <v>73</v>
      </c>
      <c r="G1187" t="s">
        <v>76</v>
      </c>
      <c r="H1187" s="10">
        <v>46125.639490740738</v>
      </c>
    </row>
    <row r="1188" spans="1:8" x14ac:dyDescent="0.25">
      <c r="A1188">
        <v>1194</v>
      </c>
      <c r="B1188" t="s">
        <v>481</v>
      </c>
      <c r="C1188" t="s">
        <v>244</v>
      </c>
      <c r="D1188">
        <v>54</v>
      </c>
      <c r="E1188" t="s">
        <v>10</v>
      </c>
      <c r="F1188" t="s">
        <v>11</v>
      </c>
      <c r="G1188" t="s">
        <v>12</v>
      </c>
      <c r="H1188" s="10">
        <v>46125.639687499999</v>
      </c>
    </row>
    <row r="1189" spans="1:8" x14ac:dyDescent="0.25">
      <c r="A1189">
        <v>1195</v>
      </c>
      <c r="B1189" t="s">
        <v>792</v>
      </c>
      <c r="C1189" t="s">
        <v>334</v>
      </c>
      <c r="D1189">
        <v>46</v>
      </c>
      <c r="E1189" t="s">
        <v>26</v>
      </c>
      <c r="F1189" t="s">
        <v>33</v>
      </c>
      <c r="G1189" t="s">
        <v>133</v>
      </c>
      <c r="H1189" s="10">
        <v>46125.639837962961</v>
      </c>
    </row>
    <row r="1190" spans="1:8" x14ac:dyDescent="0.25">
      <c r="A1190">
        <v>1196</v>
      </c>
      <c r="B1190" t="s">
        <v>908</v>
      </c>
      <c r="C1190" t="s">
        <v>595</v>
      </c>
      <c r="D1190">
        <v>35</v>
      </c>
      <c r="E1190" t="s">
        <v>10</v>
      </c>
      <c r="F1190" t="s">
        <v>29</v>
      </c>
      <c r="G1190" t="s">
        <v>65</v>
      </c>
      <c r="H1190" s="10">
        <v>46125.640486111108</v>
      </c>
    </row>
    <row r="1191" spans="1:8" x14ac:dyDescent="0.25">
      <c r="A1191">
        <v>1197</v>
      </c>
      <c r="B1191" t="s">
        <v>174</v>
      </c>
      <c r="C1191" t="s">
        <v>313</v>
      </c>
      <c r="D1191">
        <v>56</v>
      </c>
      <c r="E1191" t="s">
        <v>19</v>
      </c>
      <c r="F1191" t="s">
        <v>29</v>
      </c>
      <c r="G1191" t="s">
        <v>68</v>
      </c>
      <c r="H1191" s="10">
        <v>46125.640856481485</v>
      </c>
    </row>
    <row r="1192" spans="1:8" x14ac:dyDescent="0.25">
      <c r="A1192">
        <v>1198</v>
      </c>
      <c r="B1192" t="s">
        <v>206</v>
      </c>
      <c r="C1192" t="s">
        <v>439</v>
      </c>
      <c r="D1192">
        <v>45</v>
      </c>
      <c r="E1192" t="s">
        <v>19</v>
      </c>
      <c r="F1192" t="s">
        <v>20</v>
      </c>
      <c r="G1192" t="s">
        <v>80</v>
      </c>
      <c r="H1192" s="10">
        <v>46125.641365740739</v>
      </c>
    </row>
    <row r="1193" spans="1:8" x14ac:dyDescent="0.25">
      <c r="A1193">
        <v>1199</v>
      </c>
      <c r="B1193" t="s">
        <v>13</v>
      </c>
      <c r="C1193" t="s">
        <v>887</v>
      </c>
      <c r="D1193">
        <v>50</v>
      </c>
      <c r="E1193" t="s">
        <v>19</v>
      </c>
      <c r="F1193" t="s">
        <v>45</v>
      </c>
      <c r="G1193" t="s">
        <v>130</v>
      </c>
      <c r="H1193" s="10">
        <v>46125.641840277778</v>
      </c>
    </row>
    <row r="1194" spans="1:8" x14ac:dyDescent="0.25">
      <c r="A1194">
        <v>1200</v>
      </c>
      <c r="B1194" t="s">
        <v>104</v>
      </c>
      <c r="C1194" t="s">
        <v>205</v>
      </c>
      <c r="D1194">
        <v>24</v>
      </c>
      <c r="E1194" t="s">
        <v>10</v>
      </c>
      <c r="F1194" t="s">
        <v>45</v>
      </c>
      <c r="G1194" t="s">
        <v>51</v>
      </c>
      <c r="H1194" s="10">
        <v>46125.642465277779</v>
      </c>
    </row>
    <row r="1195" spans="1:8" x14ac:dyDescent="0.25">
      <c r="A1195">
        <v>1201</v>
      </c>
      <c r="B1195" t="s">
        <v>262</v>
      </c>
      <c r="C1195" t="s">
        <v>986</v>
      </c>
      <c r="D1195">
        <v>66</v>
      </c>
      <c r="E1195" t="s">
        <v>19</v>
      </c>
      <c r="F1195" t="s">
        <v>73</v>
      </c>
      <c r="G1195" t="s">
        <v>39</v>
      </c>
      <c r="H1195" s="10">
        <v>46125.642997685187</v>
      </c>
    </row>
    <row r="1196" spans="1:8" x14ac:dyDescent="0.25">
      <c r="A1196">
        <v>1202</v>
      </c>
      <c r="B1196" t="s">
        <v>621</v>
      </c>
      <c r="C1196" t="s">
        <v>945</v>
      </c>
      <c r="D1196">
        <v>57</v>
      </c>
      <c r="E1196" t="s">
        <v>19</v>
      </c>
      <c r="F1196" t="s">
        <v>33</v>
      </c>
      <c r="G1196" t="s">
        <v>42</v>
      </c>
      <c r="H1196" s="10">
        <v>46125.64334490741</v>
      </c>
    </row>
    <row r="1197" spans="1:8" x14ac:dyDescent="0.25">
      <c r="A1197">
        <v>1203</v>
      </c>
      <c r="B1197" t="s">
        <v>122</v>
      </c>
      <c r="C1197" t="s">
        <v>620</v>
      </c>
      <c r="D1197">
        <v>38</v>
      </c>
      <c r="E1197" t="s">
        <v>10</v>
      </c>
      <c r="F1197" t="s">
        <v>29</v>
      </c>
      <c r="G1197" t="s">
        <v>80</v>
      </c>
      <c r="H1197" s="10">
        <v>46125.643564814818</v>
      </c>
    </row>
    <row r="1198" spans="1:8" x14ac:dyDescent="0.25">
      <c r="A1198">
        <v>1204</v>
      </c>
      <c r="B1198" t="s">
        <v>318</v>
      </c>
      <c r="C1198" t="s">
        <v>176</v>
      </c>
      <c r="D1198">
        <v>38</v>
      </c>
      <c r="E1198" t="s">
        <v>26</v>
      </c>
      <c r="F1198" t="s">
        <v>33</v>
      </c>
      <c r="G1198" t="s">
        <v>46</v>
      </c>
      <c r="H1198" s="10">
        <v>46125.643750000003</v>
      </c>
    </row>
    <row r="1199" spans="1:8" x14ac:dyDescent="0.25">
      <c r="A1199">
        <v>1205</v>
      </c>
      <c r="B1199" t="s">
        <v>987</v>
      </c>
      <c r="C1199" t="s">
        <v>988</v>
      </c>
      <c r="D1199">
        <v>40</v>
      </c>
      <c r="E1199" t="s">
        <v>10</v>
      </c>
      <c r="F1199" t="s">
        <v>11</v>
      </c>
      <c r="G1199" t="s">
        <v>39</v>
      </c>
      <c r="H1199" s="10">
        <v>46125.644375000003</v>
      </c>
    </row>
    <row r="1200" spans="1:8" x14ac:dyDescent="0.25">
      <c r="A1200">
        <v>1206</v>
      </c>
      <c r="B1200" t="s">
        <v>970</v>
      </c>
      <c r="C1200" t="s">
        <v>989</v>
      </c>
      <c r="D1200">
        <v>27</v>
      </c>
      <c r="E1200" t="s">
        <v>26</v>
      </c>
      <c r="F1200" t="s">
        <v>20</v>
      </c>
      <c r="G1200" t="s">
        <v>16</v>
      </c>
      <c r="H1200" s="10">
        <v>46125.644641203704</v>
      </c>
    </row>
    <row r="1201" spans="1:8" x14ac:dyDescent="0.25">
      <c r="A1201">
        <v>1207</v>
      </c>
      <c r="B1201" t="s">
        <v>762</v>
      </c>
      <c r="C1201" t="s">
        <v>990</v>
      </c>
      <c r="D1201">
        <v>23</v>
      </c>
      <c r="E1201" t="s">
        <v>19</v>
      </c>
      <c r="F1201" t="s">
        <v>45</v>
      </c>
      <c r="G1201" t="s">
        <v>57</v>
      </c>
      <c r="H1201" s="10">
        <v>46125.645011574074</v>
      </c>
    </row>
    <row r="1202" spans="1:8" x14ac:dyDescent="0.25">
      <c r="A1202">
        <v>1208</v>
      </c>
      <c r="B1202" t="s">
        <v>168</v>
      </c>
      <c r="C1202" t="s">
        <v>348</v>
      </c>
      <c r="D1202">
        <v>69</v>
      </c>
      <c r="E1202" t="s">
        <v>26</v>
      </c>
      <c r="F1202" t="s">
        <v>73</v>
      </c>
      <c r="G1202" t="s">
        <v>133</v>
      </c>
      <c r="H1202" s="10">
        <v>46128.690844907411</v>
      </c>
    </row>
    <row r="1203" spans="1:8" x14ac:dyDescent="0.25">
      <c r="A1203">
        <v>1209</v>
      </c>
      <c r="B1203" t="s">
        <v>980</v>
      </c>
      <c r="C1203" t="s">
        <v>991</v>
      </c>
      <c r="D1203">
        <v>49</v>
      </c>
      <c r="E1203" t="s">
        <v>19</v>
      </c>
      <c r="F1203" t="s">
        <v>29</v>
      </c>
      <c r="G1203" t="s">
        <v>57</v>
      </c>
      <c r="H1203" s="10">
        <v>46128.691157407404</v>
      </c>
    </row>
    <row r="1204" spans="1:8" x14ac:dyDescent="0.25">
      <c r="A1204">
        <v>1210</v>
      </c>
      <c r="B1204" t="s">
        <v>180</v>
      </c>
      <c r="C1204" t="s">
        <v>616</v>
      </c>
      <c r="D1204">
        <v>40</v>
      </c>
      <c r="E1204" t="s">
        <v>26</v>
      </c>
      <c r="F1204" t="s">
        <v>20</v>
      </c>
      <c r="G1204" t="s">
        <v>30</v>
      </c>
      <c r="H1204" s="10">
        <v>46128.691319444442</v>
      </c>
    </row>
    <row r="1205" spans="1:8" x14ac:dyDescent="0.25">
      <c r="A1205">
        <v>1211</v>
      </c>
      <c r="B1205" t="s">
        <v>62</v>
      </c>
      <c r="C1205" t="s">
        <v>992</v>
      </c>
      <c r="D1205">
        <v>50</v>
      </c>
      <c r="E1205" t="s">
        <v>19</v>
      </c>
      <c r="F1205" t="s">
        <v>15</v>
      </c>
      <c r="G1205" t="s">
        <v>133</v>
      </c>
      <c r="H1205" s="10">
        <v>46128.691469907404</v>
      </c>
    </row>
    <row r="1206" spans="1:8" x14ac:dyDescent="0.25">
      <c r="A1206">
        <v>1212</v>
      </c>
      <c r="B1206" t="s">
        <v>104</v>
      </c>
      <c r="C1206" t="s">
        <v>604</v>
      </c>
      <c r="D1206">
        <v>42</v>
      </c>
      <c r="E1206" t="s">
        <v>10</v>
      </c>
      <c r="F1206" t="s">
        <v>29</v>
      </c>
      <c r="G1206" t="s">
        <v>12</v>
      </c>
      <c r="H1206" s="10">
        <v>46128.691689814812</v>
      </c>
    </row>
    <row r="1207" spans="1:8" x14ac:dyDescent="0.25">
      <c r="A1207">
        <v>1213</v>
      </c>
      <c r="B1207" t="s">
        <v>112</v>
      </c>
      <c r="C1207" t="s">
        <v>38</v>
      </c>
      <c r="D1207">
        <v>61</v>
      </c>
      <c r="E1207" t="s">
        <v>26</v>
      </c>
      <c r="F1207" t="s">
        <v>11</v>
      </c>
      <c r="G1207" t="s">
        <v>36</v>
      </c>
      <c r="H1207" s="10">
        <v>46128.691863425927</v>
      </c>
    </row>
    <row r="1208" spans="1:8" x14ac:dyDescent="0.25">
      <c r="A1208">
        <v>1214</v>
      </c>
      <c r="B1208" t="s">
        <v>182</v>
      </c>
      <c r="C1208" t="s">
        <v>497</v>
      </c>
      <c r="D1208">
        <v>59</v>
      </c>
      <c r="E1208" t="s">
        <v>26</v>
      </c>
      <c r="F1208" t="s">
        <v>11</v>
      </c>
      <c r="G1208" t="s">
        <v>70</v>
      </c>
      <c r="H1208" s="10">
        <v>46128.692071759258</v>
      </c>
    </row>
    <row r="1209" spans="1:8" x14ac:dyDescent="0.25">
      <c r="A1209">
        <v>1215</v>
      </c>
      <c r="B1209" t="s">
        <v>162</v>
      </c>
      <c r="C1209" t="s">
        <v>352</v>
      </c>
      <c r="D1209">
        <v>55</v>
      </c>
      <c r="E1209" t="s">
        <v>19</v>
      </c>
      <c r="F1209" t="s">
        <v>73</v>
      </c>
      <c r="G1209" t="s">
        <v>16</v>
      </c>
      <c r="H1209" s="10">
        <v>46128.692349537036</v>
      </c>
    </row>
    <row r="1210" spans="1:8" x14ac:dyDescent="0.25">
      <c r="A1210">
        <v>1216</v>
      </c>
      <c r="B1210" t="s">
        <v>474</v>
      </c>
      <c r="C1210" t="s">
        <v>993</v>
      </c>
      <c r="D1210">
        <v>67</v>
      </c>
      <c r="E1210" t="s">
        <v>19</v>
      </c>
      <c r="F1210" t="s">
        <v>29</v>
      </c>
      <c r="G1210" t="s">
        <v>114</v>
      </c>
      <c r="H1210" s="10">
        <v>46128.692615740743</v>
      </c>
    </row>
    <row r="1211" spans="1:8" x14ac:dyDescent="0.25">
      <c r="A1211">
        <v>1217</v>
      </c>
      <c r="B1211" t="s">
        <v>104</v>
      </c>
      <c r="C1211" t="s">
        <v>994</v>
      </c>
      <c r="D1211">
        <v>67</v>
      </c>
      <c r="E1211" t="s">
        <v>26</v>
      </c>
      <c r="F1211" t="s">
        <v>73</v>
      </c>
      <c r="G1211" t="s">
        <v>114</v>
      </c>
      <c r="H1211" s="10">
        <v>46128.692893518521</v>
      </c>
    </row>
    <row r="1212" spans="1:8" x14ac:dyDescent="0.25">
      <c r="A1212">
        <v>1218</v>
      </c>
      <c r="B1212" t="s">
        <v>55</v>
      </c>
      <c r="C1212" t="s">
        <v>995</v>
      </c>
      <c r="D1212">
        <v>46</v>
      </c>
      <c r="E1212" t="s">
        <v>10</v>
      </c>
      <c r="F1212" t="s">
        <v>15</v>
      </c>
      <c r="G1212" t="s">
        <v>70</v>
      </c>
      <c r="H1212" s="10">
        <v>46128.693043981482</v>
      </c>
    </row>
    <row r="1213" spans="1:8" x14ac:dyDescent="0.25">
      <c r="A1213">
        <v>1219</v>
      </c>
      <c r="B1213" t="s">
        <v>182</v>
      </c>
      <c r="C1213" t="s">
        <v>191</v>
      </c>
      <c r="D1213">
        <v>39</v>
      </c>
      <c r="E1213" t="s">
        <v>26</v>
      </c>
      <c r="F1213" t="s">
        <v>11</v>
      </c>
      <c r="G1213" t="s">
        <v>114</v>
      </c>
      <c r="H1213" s="10">
        <v>46128.69321759259</v>
      </c>
    </row>
    <row r="1214" spans="1:8" x14ac:dyDescent="0.25">
      <c r="A1214">
        <v>1220</v>
      </c>
      <c r="B1214" t="s">
        <v>78</v>
      </c>
      <c r="C1214" t="s">
        <v>40</v>
      </c>
      <c r="D1214">
        <v>66</v>
      </c>
      <c r="E1214" t="s">
        <v>26</v>
      </c>
      <c r="F1214" t="s">
        <v>20</v>
      </c>
      <c r="G1214" t="s">
        <v>36</v>
      </c>
      <c r="H1214" s="10">
        <v>46128.693495370368</v>
      </c>
    </row>
    <row r="1215" spans="1:8" x14ac:dyDescent="0.25">
      <c r="A1215">
        <v>1221</v>
      </c>
      <c r="B1215" t="s">
        <v>43</v>
      </c>
      <c r="C1215" t="s">
        <v>618</v>
      </c>
      <c r="D1215">
        <v>37</v>
      </c>
      <c r="E1215" t="s">
        <v>19</v>
      </c>
      <c r="F1215" t="s">
        <v>20</v>
      </c>
      <c r="G1215" t="s">
        <v>23</v>
      </c>
      <c r="H1215" s="10">
        <v>46128.693645833337</v>
      </c>
    </row>
    <row r="1216" spans="1:8" x14ac:dyDescent="0.25">
      <c r="A1216">
        <v>1222</v>
      </c>
      <c r="B1216" t="s">
        <v>996</v>
      </c>
      <c r="C1216" t="s">
        <v>938</v>
      </c>
      <c r="D1216">
        <v>49</v>
      </c>
      <c r="E1216" t="s">
        <v>26</v>
      </c>
      <c r="F1216" t="s">
        <v>73</v>
      </c>
      <c r="G1216" t="s">
        <v>39</v>
      </c>
      <c r="H1216" s="10">
        <v>46128.693865740737</v>
      </c>
    </row>
    <row r="1217" spans="1:8" x14ac:dyDescent="0.25">
      <c r="A1217">
        <v>1223</v>
      </c>
      <c r="B1217" t="s">
        <v>344</v>
      </c>
      <c r="C1217" t="s">
        <v>367</v>
      </c>
      <c r="D1217">
        <v>23</v>
      </c>
      <c r="E1217" t="s">
        <v>10</v>
      </c>
      <c r="F1217" t="s">
        <v>29</v>
      </c>
      <c r="G1217" t="s">
        <v>30</v>
      </c>
      <c r="H1217" s="10">
        <v>46128.694062499999</v>
      </c>
    </row>
    <row r="1218" spans="1:8" x14ac:dyDescent="0.25">
      <c r="A1218">
        <v>1224</v>
      </c>
      <c r="B1218" t="s">
        <v>162</v>
      </c>
      <c r="C1218" t="s">
        <v>485</v>
      </c>
      <c r="D1218">
        <v>44</v>
      </c>
      <c r="E1218" t="s">
        <v>19</v>
      </c>
      <c r="F1218" t="s">
        <v>15</v>
      </c>
      <c r="G1218" t="s">
        <v>23</v>
      </c>
      <c r="H1218" s="10">
        <v>46128.694398148145</v>
      </c>
    </row>
    <row r="1219" spans="1:8" x14ac:dyDescent="0.25">
      <c r="A1219">
        <v>1225</v>
      </c>
      <c r="B1219" t="s">
        <v>997</v>
      </c>
      <c r="C1219" t="s">
        <v>169</v>
      </c>
      <c r="D1219">
        <v>23</v>
      </c>
      <c r="E1219" t="s">
        <v>26</v>
      </c>
      <c r="F1219" t="s">
        <v>45</v>
      </c>
      <c r="G1219" t="s">
        <v>68</v>
      </c>
      <c r="H1219" s="10">
        <v>46128.694699074076</v>
      </c>
    </row>
    <row r="1220" spans="1:8" x14ac:dyDescent="0.25">
      <c r="A1220">
        <v>1226</v>
      </c>
      <c r="B1220" t="s">
        <v>549</v>
      </c>
      <c r="C1220" t="s">
        <v>237</v>
      </c>
      <c r="D1220">
        <v>54</v>
      </c>
      <c r="E1220" t="s">
        <v>19</v>
      </c>
      <c r="F1220" t="s">
        <v>15</v>
      </c>
      <c r="G1220" t="s">
        <v>99</v>
      </c>
      <c r="H1220" s="10">
        <v>46128.694826388892</v>
      </c>
    </row>
    <row r="1221" spans="1:8" x14ac:dyDescent="0.25">
      <c r="A1221">
        <v>1227</v>
      </c>
      <c r="B1221" t="s">
        <v>166</v>
      </c>
      <c r="C1221" t="s">
        <v>923</v>
      </c>
      <c r="D1221">
        <v>18</v>
      </c>
      <c r="E1221" t="s">
        <v>10</v>
      </c>
      <c r="F1221" t="s">
        <v>33</v>
      </c>
      <c r="G1221" t="s">
        <v>16</v>
      </c>
      <c r="H1221" s="10">
        <v>46128.695104166669</v>
      </c>
    </row>
    <row r="1222" spans="1:8" x14ac:dyDescent="0.25">
      <c r="A1222">
        <v>1228</v>
      </c>
      <c r="B1222" t="s">
        <v>188</v>
      </c>
      <c r="C1222" t="s">
        <v>899</v>
      </c>
      <c r="D1222">
        <v>57</v>
      </c>
      <c r="E1222" t="s">
        <v>26</v>
      </c>
      <c r="F1222" t="s">
        <v>15</v>
      </c>
      <c r="G1222" t="s">
        <v>42</v>
      </c>
      <c r="H1222" s="10">
        <v>46128.6953587963</v>
      </c>
    </row>
    <row r="1223" spans="1:8" x14ac:dyDescent="0.25">
      <c r="A1223">
        <v>1229</v>
      </c>
      <c r="B1223" t="s">
        <v>61</v>
      </c>
      <c r="C1223" t="s">
        <v>947</v>
      </c>
      <c r="D1223">
        <v>70</v>
      </c>
      <c r="E1223" t="s">
        <v>26</v>
      </c>
      <c r="F1223" t="s">
        <v>15</v>
      </c>
      <c r="G1223" t="s">
        <v>23</v>
      </c>
      <c r="H1223" s="10">
        <v>46128.695694444446</v>
      </c>
    </row>
    <row r="1224" spans="1:8" x14ac:dyDescent="0.25">
      <c r="A1224">
        <v>1230</v>
      </c>
      <c r="B1224" t="s">
        <v>318</v>
      </c>
      <c r="C1224" t="s">
        <v>244</v>
      </c>
      <c r="D1224">
        <v>42</v>
      </c>
      <c r="E1224" t="s">
        <v>26</v>
      </c>
      <c r="F1224" t="s">
        <v>29</v>
      </c>
      <c r="G1224" t="s">
        <v>30</v>
      </c>
      <c r="H1224" s="10">
        <v>46128.695891203701</v>
      </c>
    </row>
    <row r="1225" spans="1:8" x14ac:dyDescent="0.25">
      <c r="A1225">
        <v>1231</v>
      </c>
      <c r="B1225" t="s">
        <v>998</v>
      </c>
      <c r="C1225" t="s">
        <v>150</v>
      </c>
      <c r="D1225">
        <v>66</v>
      </c>
      <c r="E1225" t="s">
        <v>26</v>
      </c>
      <c r="F1225" t="s">
        <v>15</v>
      </c>
      <c r="G1225" t="s">
        <v>16</v>
      </c>
      <c r="H1225" s="10">
        <v>46128.696030092593</v>
      </c>
    </row>
    <row r="1226" spans="1:8" x14ac:dyDescent="0.25">
      <c r="A1226">
        <v>1232</v>
      </c>
      <c r="B1226" t="s">
        <v>551</v>
      </c>
      <c r="C1226" t="s">
        <v>999</v>
      </c>
      <c r="D1226">
        <v>49</v>
      </c>
      <c r="E1226" t="s">
        <v>10</v>
      </c>
      <c r="F1226" t="s">
        <v>33</v>
      </c>
      <c r="G1226" t="s">
        <v>39</v>
      </c>
      <c r="H1226" s="10">
        <v>46128.696192129632</v>
      </c>
    </row>
    <row r="1227" spans="1:8" x14ac:dyDescent="0.25">
      <c r="A1227">
        <v>1233</v>
      </c>
      <c r="B1227" t="s">
        <v>687</v>
      </c>
      <c r="C1227" t="s">
        <v>555</v>
      </c>
      <c r="D1227">
        <v>60</v>
      </c>
      <c r="E1227" t="s">
        <v>19</v>
      </c>
      <c r="F1227" t="s">
        <v>20</v>
      </c>
      <c r="G1227" t="s">
        <v>76</v>
      </c>
      <c r="H1227" s="10">
        <v>46128.696388888886</v>
      </c>
    </row>
    <row r="1228" spans="1:8" x14ac:dyDescent="0.25">
      <c r="A1228">
        <v>1234</v>
      </c>
      <c r="B1228" t="s">
        <v>1000</v>
      </c>
      <c r="C1228" t="s">
        <v>480</v>
      </c>
      <c r="D1228">
        <v>37</v>
      </c>
      <c r="E1228" t="s">
        <v>10</v>
      </c>
      <c r="F1228" t="s">
        <v>11</v>
      </c>
      <c r="G1228" t="s">
        <v>133</v>
      </c>
      <c r="H1228" s="10">
        <v>46128.696701388886</v>
      </c>
    </row>
    <row r="1229" spans="1:8" x14ac:dyDescent="0.25">
      <c r="A1229">
        <v>1235</v>
      </c>
      <c r="B1229" t="s">
        <v>180</v>
      </c>
      <c r="C1229" t="s">
        <v>624</v>
      </c>
      <c r="D1229">
        <v>65</v>
      </c>
      <c r="E1229" t="s">
        <v>26</v>
      </c>
      <c r="F1229" t="s">
        <v>33</v>
      </c>
      <c r="G1229" t="s">
        <v>80</v>
      </c>
      <c r="H1229" s="10">
        <v>46128.696932870371</v>
      </c>
    </row>
    <row r="1230" spans="1:8" x14ac:dyDescent="0.25">
      <c r="A1230">
        <v>1236</v>
      </c>
      <c r="B1230" t="s">
        <v>538</v>
      </c>
      <c r="C1230" t="s">
        <v>159</v>
      </c>
      <c r="D1230">
        <v>55</v>
      </c>
      <c r="E1230" t="s">
        <v>10</v>
      </c>
      <c r="F1230" t="s">
        <v>29</v>
      </c>
      <c r="G1230" t="s">
        <v>68</v>
      </c>
      <c r="H1230" s="10">
        <v>46128.697199074071</v>
      </c>
    </row>
    <row r="1231" spans="1:8" x14ac:dyDescent="0.25">
      <c r="A1231">
        <v>1237</v>
      </c>
      <c r="B1231" t="s">
        <v>302</v>
      </c>
      <c r="C1231" t="s">
        <v>901</v>
      </c>
      <c r="D1231">
        <v>68</v>
      </c>
      <c r="E1231" t="s">
        <v>26</v>
      </c>
      <c r="F1231" t="s">
        <v>45</v>
      </c>
      <c r="G1231" t="s">
        <v>12</v>
      </c>
      <c r="H1231" s="10">
        <v>46128.69736111111</v>
      </c>
    </row>
    <row r="1232" spans="1:8" x14ac:dyDescent="0.25">
      <c r="A1232">
        <v>1238</v>
      </c>
      <c r="B1232" t="s">
        <v>418</v>
      </c>
      <c r="C1232" t="s">
        <v>87</v>
      </c>
      <c r="D1232">
        <v>40</v>
      </c>
      <c r="E1232" t="s">
        <v>26</v>
      </c>
      <c r="F1232" t="s">
        <v>73</v>
      </c>
      <c r="G1232" t="s">
        <v>57</v>
      </c>
      <c r="H1232" s="10">
        <v>46128.697534722225</v>
      </c>
    </row>
    <row r="1233" spans="1:8" x14ac:dyDescent="0.25">
      <c r="A1233">
        <v>1239</v>
      </c>
      <c r="B1233" t="s">
        <v>521</v>
      </c>
      <c r="C1233" t="s">
        <v>937</v>
      </c>
      <c r="D1233">
        <v>33</v>
      </c>
      <c r="E1233" t="s">
        <v>26</v>
      </c>
      <c r="F1233" t="s">
        <v>45</v>
      </c>
      <c r="G1233" t="s">
        <v>12</v>
      </c>
      <c r="H1233" s="10">
        <v>46128.697662037041</v>
      </c>
    </row>
    <row r="1234" spans="1:8" x14ac:dyDescent="0.25">
      <c r="A1234">
        <v>1240</v>
      </c>
      <c r="B1234" t="s">
        <v>104</v>
      </c>
      <c r="C1234" t="s">
        <v>1001</v>
      </c>
      <c r="D1234">
        <v>30</v>
      </c>
      <c r="E1234" t="s">
        <v>26</v>
      </c>
      <c r="F1234" t="s">
        <v>45</v>
      </c>
      <c r="G1234" t="s">
        <v>68</v>
      </c>
      <c r="H1234" s="10">
        <v>46128.697928240741</v>
      </c>
    </row>
    <row r="1235" spans="1:8" x14ac:dyDescent="0.25">
      <c r="A1235">
        <v>1241</v>
      </c>
      <c r="B1235" t="s">
        <v>837</v>
      </c>
      <c r="C1235" t="s">
        <v>273</v>
      </c>
      <c r="D1235">
        <v>23</v>
      </c>
      <c r="E1235" t="s">
        <v>19</v>
      </c>
      <c r="F1235" t="s">
        <v>29</v>
      </c>
      <c r="G1235" t="s">
        <v>36</v>
      </c>
      <c r="H1235" s="10">
        <v>46128.698055555556</v>
      </c>
    </row>
    <row r="1236" spans="1:8" x14ac:dyDescent="0.25">
      <c r="A1236">
        <v>1242</v>
      </c>
      <c r="B1236" t="s">
        <v>88</v>
      </c>
      <c r="C1236" t="s">
        <v>384</v>
      </c>
      <c r="D1236">
        <v>24</v>
      </c>
      <c r="E1236" t="s">
        <v>19</v>
      </c>
      <c r="F1236" t="s">
        <v>29</v>
      </c>
      <c r="G1236" t="s">
        <v>130</v>
      </c>
      <c r="H1236" s="10">
        <v>46128.698368055557</v>
      </c>
    </row>
    <row r="1237" spans="1:8" x14ac:dyDescent="0.25">
      <c r="A1237">
        <v>1243</v>
      </c>
      <c r="B1237" t="s">
        <v>672</v>
      </c>
      <c r="C1237" t="s">
        <v>347</v>
      </c>
      <c r="D1237">
        <v>35</v>
      </c>
      <c r="E1237" t="s">
        <v>19</v>
      </c>
      <c r="F1237" t="s">
        <v>33</v>
      </c>
      <c r="G1237" t="s">
        <v>30</v>
      </c>
      <c r="H1237" s="10">
        <v>46128.698703703703</v>
      </c>
    </row>
    <row r="1238" spans="1:8" x14ac:dyDescent="0.25">
      <c r="A1238">
        <v>1244</v>
      </c>
      <c r="B1238" t="s">
        <v>1002</v>
      </c>
      <c r="C1238" t="s">
        <v>619</v>
      </c>
      <c r="D1238">
        <v>51</v>
      </c>
      <c r="E1238" t="s">
        <v>26</v>
      </c>
      <c r="F1238" t="s">
        <v>33</v>
      </c>
      <c r="G1238" t="s">
        <v>68</v>
      </c>
      <c r="H1238" s="10">
        <v>46128.698958333334</v>
      </c>
    </row>
    <row r="1239" spans="1:8" x14ac:dyDescent="0.25">
      <c r="A1239">
        <v>1245</v>
      </c>
      <c r="B1239" t="s">
        <v>1003</v>
      </c>
      <c r="C1239" t="s">
        <v>352</v>
      </c>
      <c r="D1239">
        <v>57</v>
      </c>
      <c r="E1239" t="s">
        <v>26</v>
      </c>
      <c r="F1239" t="s">
        <v>73</v>
      </c>
      <c r="G1239" t="s">
        <v>80</v>
      </c>
      <c r="H1239" s="10">
        <v>46128.699293981481</v>
      </c>
    </row>
    <row r="1240" spans="1:8" x14ac:dyDescent="0.25">
      <c r="A1240">
        <v>1246</v>
      </c>
      <c r="B1240" t="s">
        <v>935</v>
      </c>
      <c r="C1240" t="s">
        <v>332</v>
      </c>
      <c r="D1240">
        <v>57</v>
      </c>
      <c r="E1240" t="s">
        <v>10</v>
      </c>
      <c r="F1240" t="s">
        <v>11</v>
      </c>
      <c r="G1240" t="s">
        <v>133</v>
      </c>
      <c r="H1240" s="10">
        <v>46128.699548611112</v>
      </c>
    </row>
    <row r="1241" spans="1:8" x14ac:dyDescent="0.25">
      <c r="A1241">
        <v>1247</v>
      </c>
      <c r="B1241" t="s">
        <v>194</v>
      </c>
      <c r="C1241" t="s">
        <v>1004</v>
      </c>
      <c r="D1241">
        <v>18</v>
      </c>
      <c r="E1241" t="s">
        <v>19</v>
      </c>
      <c r="F1241" t="s">
        <v>29</v>
      </c>
      <c r="G1241" t="s">
        <v>65</v>
      </c>
      <c r="H1241" s="10">
        <v>46128.699791666666</v>
      </c>
    </row>
    <row r="1242" spans="1:8" x14ac:dyDescent="0.25">
      <c r="A1242">
        <v>1248</v>
      </c>
      <c r="B1242" t="s">
        <v>488</v>
      </c>
      <c r="C1242" t="s">
        <v>942</v>
      </c>
      <c r="D1242">
        <v>55</v>
      </c>
      <c r="E1242" t="s">
        <v>19</v>
      </c>
      <c r="F1242" t="s">
        <v>33</v>
      </c>
      <c r="G1242" t="s">
        <v>70</v>
      </c>
      <c r="H1242" s="10">
        <v>46128.70008101852</v>
      </c>
    </row>
    <row r="1243" spans="1:8" x14ac:dyDescent="0.25">
      <c r="A1243">
        <v>1249</v>
      </c>
      <c r="B1243" t="s">
        <v>194</v>
      </c>
      <c r="C1243" t="s">
        <v>452</v>
      </c>
      <c r="D1243">
        <v>64</v>
      </c>
      <c r="E1243" t="s">
        <v>10</v>
      </c>
      <c r="F1243" t="s">
        <v>29</v>
      </c>
      <c r="G1243" t="s">
        <v>70</v>
      </c>
      <c r="H1243" s="10">
        <v>46128.70040509259</v>
      </c>
    </row>
    <row r="1244" spans="1:8" x14ac:dyDescent="0.25">
      <c r="A1244">
        <v>1250</v>
      </c>
      <c r="B1244" t="s">
        <v>404</v>
      </c>
      <c r="C1244" t="s">
        <v>364</v>
      </c>
      <c r="D1244">
        <v>38</v>
      </c>
      <c r="E1244" t="s">
        <v>19</v>
      </c>
      <c r="F1244" t="s">
        <v>73</v>
      </c>
      <c r="G1244" t="s">
        <v>54</v>
      </c>
      <c r="H1244" s="10">
        <v>46128.700694444444</v>
      </c>
    </row>
    <row r="1245" spans="1:8" x14ac:dyDescent="0.25">
      <c r="A1245">
        <v>1251</v>
      </c>
      <c r="B1245" t="s">
        <v>127</v>
      </c>
      <c r="C1245" t="s">
        <v>756</v>
      </c>
      <c r="D1245">
        <v>26</v>
      </c>
      <c r="E1245" t="s">
        <v>26</v>
      </c>
      <c r="F1245" t="s">
        <v>29</v>
      </c>
      <c r="G1245" t="s">
        <v>57</v>
      </c>
      <c r="H1245" s="10">
        <v>46128.700833333336</v>
      </c>
    </row>
    <row r="1246" spans="1:8" x14ac:dyDescent="0.25">
      <c r="A1246">
        <v>1252</v>
      </c>
      <c r="B1246" t="s">
        <v>533</v>
      </c>
      <c r="C1246" t="s">
        <v>1005</v>
      </c>
      <c r="D1246">
        <v>24</v>
      </c>
      <c r="E1246" t="s">
        <v>26</v>
      </c>
      <c r="F1246" t="s">
        <v>15</v>
      </c>
      <c r="G1246" t="s">
        <v>65</v>
      </c>
      <c r="H1246" s="10">
        <v>46128.701122685183</v>
      </c>
    </row>
    <row r="1247" spans="1:8" x14ac:dyDescent="0.25">
      <c r="A1247">
        <v>1253</v>
      </c>
      <c r="B1247" t="s">
        <v>325</v>
      </c>
      <c r="C1247" t="s">
        <v>348</v>
      </c>
      <c r="D1247">
        <v>58</v>
      </c>
      <c r="E1247" t="s">
        <v>10</v>
      </c>
      <c r="F1247" t="s">
        <v>73</v>
      </c>
      <c r="G1247" t="s">
        <v>70</v>
      </c>
      <c r="H1247" s="10">
        <v>46128.701354166667</v>
      </c>
    </row>
    <row r="1248" spans="1:8" x14ac:dyDescent="0.25">
      <c r="A1248">
        <v>1254</v>
      </c>
      <c r="B1248" t="s">
        <v>13</v>
      </c>
      <c r="C1248" t="s">
        <v>129</v>
      </c>
      <c r="D1248">
        <v>43</v>
      </c>
      <c r="E1248" t="s">
        <v>19</v>
      </c>
      <c r="F1248" t="s">
        <v>33</v>
      </c>
      <c r="G1248" t="s">
        <v>133</v>
      </c>
      <c r="H1248" s="10">
        <v>46128.701631944445</v>
      </c>
    </row>
    <row r="1249" spans="1:8" x14ac:dyDescent="0.25">
      <c r="A1249">
        <v>1255</v>
      </c>
      <c r="B1249" t="s">
        <v>465</v>
      </c>
      <c r="C1249" t="s">
        <v>1006</v>
      </c>
      <c r="D1249">
        <v>36</v>
      </c>
      <c r="E1249" t="s">
        <v>26</v>
      </c>
      <c r="F1249" t="s">
        <v>20</v>
      </c>
      <c r="G1249" t="s">
        <v>133</v>
      </c>
      <c r="H1249" s="10">
        <v>46128.701851851853</v>
      </c>
    </row>
    <row r="1250" spans="1:8" x14ac:dyDescent="0.25">
      <c r="A1250">
        <v>1256</v>
      </c>
      <c r="B1250" t="s">
        <v>164</v>
      </c>
      <c r="C1250" t="s">
        <v>480</v>
      </c>
      <c r="D1250">
        <v>50</v>
      </c>
      <c r="E1250" t="s">
        <v>26</v>
      </c>
      <c r="F1250" t="s">
        <v>45</v>
      </c>
      <c r="G1250" t="s">
        <v>76</v>
      </c>
      <c r="H1250" s="10">
        <v>46128.702152777776</v>
      </c>
    </row>
    <row r="1251" spans="1:8" x14ac:dyDescent="0.25">
      <c r="A1251">
        <v>1257</v>
      </c>
      <c r="B1251" t="s">
        <v>78</v>
      </c>
      <c r="C1251" t="s">
        <v>125</v>
      </c>
      <c r="D1251">
        <v>32</v>
      </c>
      <c r="E1251" t="s">
        <v>19</v>
      </c>
      <c r="F1251" t="s">
        <v>33</v>
      </c>
      <c r="G1251" t="s">
        <v>36</v>
      </c>
      <c r="H1251" s="10">
        <v>46128.702465277776</v>
      </c>
    </row>
    <row r="1252" spans="1:8" x14ac:dyDescent="0.25">
      <c r="A1252">
        <v>1258</v>
      </c>
      <c r="B1252" t="s">
        <v>104</v>
      </c>
      <c r="C1252" t="s">
        <v>561</v>
      </c>
      <c r="D1252">
        <v>62</v>
      </c>
      <c r="E1252" t="s">
        <v>19</v>
      </c>
      <c r="F1252" t="s">
        <v>45</v>
      </c>
      <c r="G1252" t="s">
        <v>39</v>
      </c>
      <c r="H1252" s="10">
        <v>46128.702696759261</v>
      </c>
    </row>
    <row r="1253" spans="1:8" x14ac:dyDescent="0.25">
      <c r="A1253">
        <v>1259</v>
      </c>
      <c r="B1253" t="s">
        <v>43</v>
      </c>
      <c r="C1253" t="s">
        <v>555</v>
      </c>
      <c r="D1253">
        <v>28</v>
      </c>
      <c r="E1253" t="s">
        <v>10</v>
      </c>
      <c r="F1253" t="s">
        <v>29</v>
      </c>
      <c r="G1253" t="s">
        <v>114</v>
      </c>
      <c r="H1253" s="10">
        <v>46128.703020833331</v>
      </c>
    </row>
    <row r="1254" spans="1:8" x14ac:dyDescent="0.25">
      <c r="A1254">
        <v>1260</v>
      </c>
      <c r="B1254" t="s">
        <v>97</v>
      </c>
      <c r="C1254" t="s">
        <v>263</v>
      </c>
      <c r="D1254">
        <v>38</v>
      </c>
      <c r="E1254" t="s">
        <v>19</v>
      </c>
      <c r="F1254" t="s">
        <v>29</v>
      </c>
      <c r="G1254" t="s">
        <v>16</v>
      </c>
      <c r="H1254" s="10">
        <v>46128.703206018516</v>
      </c>
    </row>
    <row r="1255" spans="1:8" x14ac:dyDescent="0.25">
      <c r="A1255">
        <v>1261</v>
      </c>
      <c r="B1255" t="s">
        <v>674</v>
      </c>
      <c r="C1255" t="s">
        <v>96</v>
      </c>
      <c r="D1255">
        <v>54</v>
      </c>
      <c r="E1255" t="s">
        <v>10</v>
      </c>
      <c r="F1255" t="s">
        <v>11</v>
      </c>
      <c r="G1255" t="s">
        <v>68</v>
      </c>
      <c r="H1255" s="10">
        <v>46128.703530092593</v>
      </c>
    </row>
    <row r="1256" spans="1:8" x14ac:dyDescent="0.25">
      <c r="A1256">
        <v>1262</v>
      </c>
      <c r="B1256" t="s">
        <v>357</v>
      </c>
      <c r="C1256" t="s">
        <v>380</v>
      </c>
      <c r="D1256">
        <v>26</v>
      </c>
      <c r="E1256" t="s">
        <v>10</v>
      </c>
      <c r="F1256" t="s">
        <v>45</v>
      </c>
      <c r="G1256" t="s">
        <v>68</v>
      </c>
      <c r="H1256" s="10">
        <v>46128.703750000001</v>
      </c>
    </row>
    <row r="1257" spans="1:8" x14ac:dyDescent="0.25">
      <c r="A1257">
        <v>1263</v>
      </c>
      <c r="B1257" t="s">
        <v>43</v>
      </c>
      <c r="C1257" t="s">
        <v>1007</v>
      </c>
      <c r="D1257">
        <v>26</v>
      </c>
      <c r="E1257" t="s">
        <v>19</v>
      </c>
      <c r="F1257" t="s">
        <v>45</v>
      </c>
      <c r="G1257" t="s">
        <v>16</v>
      </c>
      <c r="H1257" s="10">
        <v>46128.703969907408</v>
      </c>
    </row>
    <row r="1258" spans="1:8" x14ac:dyDescent="0.25">
      <c r="A1258">
        <v>1264</v>
      </c>
      <c r="B1258" t="s">
        <v>906</v>
      </c>
      <c r="C1258" t="s">
        <v>139</v>
      </c>
      <c r="D1258">
        <v>21</v>
      </c>
      <c r="E1258" t="s">
        <v>26</v>
      </c>
      <c r="F1258" t="s">
        <v>45</v>
      </c>
      <c r="G1258" t="s">
        <v>65</v>
      </c>
      <c r="H1258" s="10">
        <v>46128.704108796293</v>
      </c>
    </row>
    <row r="1259" spans="1:8" x14ac:dyDescent="0.25">
      <c r="A1259">
        <v>1265</v>
      </c>
      <c r="B1259" t="s">
        <v>88</v>
      </c>
      <c r="C1259" t="s">
        <v>668</v>
      </c>
      <c r="D1259">
        <v>31</v>
      </c>
      <c r="E1259" t="s">
        <v>26</v>
      </c>
      <c r="F1259" t="s">
        <v>73</v>
      </c>
      <c r="G1259" t="s">
        <v>76</v>
      </c>
      <c r="H1259" s="10">
        <v>46128.704247685186</v>
      </c>
    </row>
    <row r="1260" spans="1:8" x14ac:dyDescent="0.25">
      <c r="A1260">
        <v>1266</v>
      </c>
      <c r="B1260" t="s">
        <v>117</v>
      </c>
      <c r="C1260" t="s">
        <v>948</v>
      </c>
      <c r="D1260">
        <v>32</v>
      </c>
      <c r="E1260" t="s">
        <v>26</v>
      </c>
      <c r="F1260" t="s">
        <v>33</v>
      </c>
      <c r="G1260" t="s">
        <v>76</v>
      </c>
      <c r="H1260" s="10">
        <v>46128.70453703704</v>
      </c>
    </row>
    <row r="1261" spans="1:8" x14ac:dyDescent="0.25">
      <c r="A1261">
        <v>1267</v>
      </c>
      <c r="B1261" t="s">
        <v>521</v>
      </c>
      <c r="C1261" t="s">
        <v>899</v>
      </c>
      <c r="D1261">
        <v>50</v>
      </c>
      <c r="E1261" t="s">
        <v>19</v>
      </c>
      <c r="F1261" t="s">
        <v>73</v>
      </c>
      <c r="G1261" t="s">
        <v>114</v>
      </c>
      <c r="H1261" s="10">
        <v>46128.704791666663</v>
      </c>
    </row>
    <row r="1262" spans="1:8" x14ac:dyDescent="0.25">
      <c r="A1262">
        <v>1268</v>
      </c>
      <c r="B1262" t="s">
        <v>349</v>
      </c>
      <c r="C1262" t="s">
        <v>176</v>
      </c>
      <c r="D1262">
        <v>53</v>
      </c>
      <c r="E1262" t="s">
        <v>10</v>
      </c>
      <c r="F1262" t="s">
        <v>73</v>
      </c>
      <c r="G1262" t="s">
        <v>130</v>
      </c>
      <c r="H1262" s="10">
        <v>46128.704907407409</v>
      </c>
    </row>
    <row r="1263" spans="1:8" x14ac:dyDescent="0.25">
      <c r="A1263">
        <v>1269</v>
      </c>
      <c r="B1263" t="s">
        <v>8</v>
      </c>
      <c r="C1263" t="s">
        <v>1008</v>
      </c>
      <c r="D1263">
        <v>19</v>
      </c>
      <c r="E1263" t="s">
        <v>10</v>
      </c>
      <c r="F1263" t="s">
        <v>11</v>
      </c>
      <c r="G1263" t="s">
        <v>12</v>
      </c>
      <c r="H1263" s="10">
        <v>46128.705092592594</v>
      </c>
    </row>
    <row r="1264" spans="1:8" x14ac:dyDescent="0.25">
      <c r="A1264">
        <v>1270</v>
      </c>
      <c r="B1264" t="s">
        <v>1009</v>
      </c>
      <c r="C1264" t="s">
        <v>237</v>
      </c>
      <c r="D1264">
        <v>43</v>
      </c>
      <c r="E1264" t="s">
        <v>26</v>
      </c>
      <c r="F1264" t="s">
        <v>20</v>
      </c>
      <c r="G1264" t="s">
        <v>16</v>
      </c>
      <c r="H1264" s="10">
        <v>46128.705266203702</v>
      </c>
    </row>
    <row r="1265" spans="1:8" x14ac:dyDescent="0.25">
      <c r="A1265">
        <v>1271</v>
      </c>
      <c r="B1265" t="s">
        <v>349</v>
      </c>
      <c r="C1265" t="s">
        <v>135</v>
      </c>
      <c r="D1265">
        <v>65</v>
      </c>
      <c r="E1265" t="s">
        <v>19</v>
      </c>
      <c r="F1265" t="s">
        <v>20</v>
      </c>
      <c r="G1265" t="s">
        <v>39</v>
      </c>
      <c r="H1265" s="10">
        <v>46128.705428240741</v>
      </c>
    </row>
    <row r="1266" spans="1:8" x14ac:dyDescent="0.25">
      <c r="A1266">
        <v>1272</v>
      </c>
      <c r="B1266" t="s">
        <v>151</v>
      </c>
      <c r="C1266" t="s">
        <v>352</v>
      </c>
      <c r="D1266">
        <v>25</v>
      </c>
      <c r="E1266" t="s">
        <v>10</v>
      </c>
      <c r="F1266" t="s">
        <v>15</v>
      </c>
      <c r="G1266" t="s">
        <v>39</v>
      </c>
      <c r="H1266" s="10">
        <v>46128.705752314818</v>
      </c>
    </row>
    <row r="1267" spans="1:8" x14ac:dyDescent="0.25">
      <c r="A1267">
        <v>1273</v>
      </c>
      <c r="B1267" t="s">
        <v>302</v>
      </c>
      <c r="C1267" t="s">
        <v>1010</v>
      </c>
      <c r="D1267">
        <v>69</v>
      </c>
      <c r="E1267" t="s">
        <v>26</v>
      </c>
      <c r="F1267" t="s">
        <v>15</v>
      </c>
      <c r="G1267" t="s">
        <v>114</v>
      </c>
      <c r="H1267" s="10">
        <v>46128.706053240741</v>
      </c>
    </row>
    <row r="1268" spans="1:8" x14ac:dyDescent="0.25">
      <c r="A1268">
        <v>1274</v>
      </c>
      <c r="B1268" t="s">
        <v>296</v>
      </c>
      <c r="C1268" t="s">
        <v>529</v>
      </c>
      <c r="D1268">
        <v>39</v>
      </c>
      <c r="E1268" t="s">
        <v>26</v>
      </c>
      <c r="F1268" t="s">
        <v>29</v>
      </c>
      <c r="G1268" t="s">
        <v>70</v>
      </c>
      <c r="H1268" s="10">
        <v>46128.706226851849</v>
      </c>
    </row>
    <row r="1269" spans="1:8" x14ac:dyDescent="0.25">
      <c r="A1269">
        <v>1275</v>
      </c>
      <c r="B1269" t="s">
        <v>674</v>
      </c>
      <c r="C1269" t="s">
        <v>1011</v>
      </c>
      <c r="D1269">
        <v>69</v>
      </c>
      <c r="E1269" t="s">
        <v>10</v>
      </c>
      <c r="F1269" t="s">
        <v>45</v>
      </c>
      <c r="G1269" t="s">
        <v>80</v>
      </c>
      <c r="H1269" s="10">
        <v>46128.706354166665</v>
      </c>
    </row>
    <row r="1270" spans="1:8" x14ac:dyDescent="0.25">
      <c r="A1270">
        <v>1276</v>
      </c>
      <c r="B1270" t="s">
        <v>912</v>
      </c>
      <c r="C1270" t="s">
        <v>441</v>
      </c>
      <c r="D1270">
        <v>48</v>
      </c>
      <c r="E1270" t="s">
        <v>19</v>
      </c>
      <c r="F1270" t="s">
        <v>33</v>
      </c>
      <c r="G1270" t="s">
        <v>12</v>
      </c>
      <c r="H1270" s="10">
        <v>46128.706493055557</v>
      </c>
    </row>
    <row r="1271" spans="1:8" x14ac:dyDescent="0.25">
      <c r="A1271">
        <v>1277</v>
      </c>
      <c r="B1271" t="s">
        <v>151</v>
      </c>
      <c r="C1271" t="s">
        <v>705</v>
      </c>
      <c r="D1271">
        <v>28</v>
      </c>
      <c r="E1271" t="s">
        <v>10</v>
      </c>
      <c r="F1271" t="s">
        <v>33</v>
      </c>
      <c r="G1271" t="s">
        <v>133</v>
      </c>
      <c r="H1271" s="10">
        <v>46128.706608796296</v>
      </c>
    </row>
    <row r="1272" spans="1:8" x14ac:dyDescent="0.25">
      <c r="A1272">
        <v>1278</v>
      </c>
      <c r="B1272" t="s">
        <v>630</v>
      </c>
      <c r="C1272" t="s">
        <v>367</v>
      </c>
      <c r="D1272">
        <v>22</v>
      </c>
      <c r="E1272" t="s">
        <v>26</v>
      </c>
      <c r="F1272" t="s">
        <v>15</v>
      </c>
      <c r="G1272" t="s">
        <v>65</v>
      </c>
      <c r="H1272" s="10">
        <v>46128.706782407404</v>
      </c>
    </row>
    <row r="1273" spans="1:8" x14ac:dyDescent="0.25">
      <c r="A1273">
        <v>1279</v>
      </c>
      <c r="B1273" t="s">
        <v>1012</v>
      </c>
      <c r="C1273" t="s">
        <v>145</v>
      </c>
      <c r="D1273">
        <v>18</v>
      </c>
      <c r="E1273" t="s">
        <v>10</v>
      </c>
      <c r="F1273" t="s">
        <v>45</v>
      </c>
      <c r="G1273" t="s">
        <v>30</v>
      </c>
      <c r="H1273" s="10">
        <v>46128.707002314812</v>
      </c>
    </row>
    <row r="1274" spans="1:8" x14ac:dyDescent="0.25">
      <c r="A1274">
        <v>1280</v>
      </c>
      <c r="B1274" t="s">
        <v>300</v>
      </c>
      <c r="C1274" t="s">
        <v>962</v>
      </c>
      <c r="D1274">
        <v>48</v>
      </c>
      <c r="E1274" t="s">
        <v>26</v>
      </c>
      <c r="F1274" t="s">
        <v>29</v>
      </c>
      <c r="G1274" t="s">
        <v>65</v>
      </c>
      <c r="H1274" s="10">
        <v>46128.707129629627</v>
      </c>
    </row>
    <row r="1275" spans="1:8" x14ac:dyDescent="0.25">
      <c r="A1275">
        <v>1281</v>
      </c>
      <c r="B1275" t="s">
        <v>521</v>
      </c>
      <c r="C1275" t="s">
        <v>1013</v>
      </c>
      <c r="D1275">
        <v>52</v>
      </c>
      <c r="E1275" t="s">
        <v>26</v>
      </c>
      <c r="F1275" t="s">
        <v>33</v>
      </c>
      <c r="G1275" t="s">
        <v>42</v>
      </c>
      <c r="H1275" s="10">
        <v>46128.707256944443</v>
      </c>
    </row>
    <row r="1276" spans="1:8" x14ac:dyDescent="0.25">
      <c r="A1276">
        <v>1282</v>
      </c>
      <c r="B1276" t="s">
        <v>507</v>
      </c>
      <c r="C1276" t="s">
        <v>949</v>
      </c>
      <c r="D1276">
        <v>20</v>
      </c>
      <c r="E1276" t="s">
        <v>19</v>
      </c>
      <c r="F1276" t="s">
        <v>15</v>
      </c>
      <c r="G1276" t="s">
        <v>133</v>
      </c>
      <c r="H1276" s="10">
        <v>46128.707592592589</v>
      </c>
    </row>
    <row r="1277" spans="1:8" x14ac:dyDescent="0.25">
      <c r="A1277">
        <v>1283</v>
      </c>
      <c r="B1277" t="s">
        <v>1014</v>
      </c>
      <c r="C1277" t="s">
        <v>380</v>
      </c>
      <c r="D1277">
        <v>31</v>
      </c>
      <c r="E1277" t="s">
        <v>19</v>
      </c>
      <c r="F1277" t="s">
        <v>33</v>
      </c>
      <c r="G1277" t="s">
        <v>46</v>
      </c>
      <c r="H1277" s="10">
        <v>46128.707928240743</v>
      </c>
    </row>
    <row r="1278" spans="1:8" x14ac:dyDescent="0.25">
      <c r="A1278">
        <v>1284</v>
      </c>
      <c r="B1278" t="s">
        <v>268</v>
      </c>
      <c r="C1278" t="s">
        <v>903</v>
      </c>
      <c r="D1278">
        <v>18</v>
      </c>
      <c r="E1278" t="s">
        <v>10</v>
      </c>
      <c r="F1278" t="s">
        <v>11</v>
      </c>
      <c r="G1278" t="s">
        <v>30</v>
      </c>
      <c r="H1278" s="10">
        <v>46128.708240740743</v>
      </c>
    </row>
    <row r="1279" spans="1:8" x14ac:dyDescent="0.25">
      <c r="A1279">
        <v>1285</v>
      </c>
      <c r="B1279" t="s">
        <v>1015</v>
      </c>
      <c r="C1279" t="s">
        <v>304</v>
      </c>
      <c r="D1279">
        <v>50</v>
      </c>
      <c r="E1279" t="s">
        <v>10</v>
      </c>
      <c r="F1279" t="s">
        <v>15</v>
      </c>
      <c r="G1279" t="s">
        <v>99</v>
      </c>
      <c r="H1279" s="10">
        <v>46128.708449074074</v>
      </c>
    </row>
    <row r="1280" spans="1:8" x14ac:dyDescent="0.25">
      <c r="A1280">
        <v>1286</v>
      </c>
      <c r="B1280" t="s">
        <v>1016</v>
      </c>
      <c r="C1280" t="s">
        <v>452</v>
      </c>
      <c r="D1280">
        <v>44</v>
      </c>
      <c r="E1280" t="s">
        <v>26</v>
      </c>
      <c r="F1280" t="s">
        <v>45</v>
      </c>
      <c r="G1280" t="s">
        <v>36</v>
      </c>
      <c r="H1280" s="10">
        <v>46128.708715277775</v>
      </c>
    </row>
    <row r="1281" spans="1:8" x14ac:dyDescent="0.25">
      <c r="A1281">
        <v>1287</v>
      </c>
      <c r="B1281" t="s">
        <v>794</v>
      </c>
      <c r="C1281" t="s">
        <v>137</v>
      </c>
      <c r="D1281">
        <v>34</v>
      </c>
      <c r="E1281" t="s">
        <v>26</v>
      </c>
      <c r="F1281" t="s">
        <v>45</v>
      </c>
      <c r="G1281" t="s">
        <v>54</v>
      </c>
      <c r="H1281" s="10">
        <v>46128.70888888889</v>
      </c>
    </row>
    <row r="1282" spans="1:8" x14ac:dyDescent="0.25">
      <c r="A1282">
        <v>1288</v>
      </c>
      <c r="B1282" t="s">
        <v>1017</v>
      </c>
      <c r="C1282" t="s">
        <v>950</v>
      </c>
      <c r="D1282">
        <v>64</v>
      </c>
      <c r="E1282" t="s">
        <v>26</v>
      </c>
      <c r="F1282" t="s">
        <v>73</v>
      </c>
      <c r="G1282" t="s">
        <v>51</v>
      </c>
      <c r="H1282" s="10">
        <v>46128.709050925929</v>
      </c>
    </row>
    <row r="1283" spans="1:8" x14ac:dyDescent="0.25">
      <c r="A1283">
        <v>1289</v>
      </c>
      <c r="B1283" t="s">
        <v>837</v>
      </c>
      <c r="C1283" t="s">
        <v>324</v>
      </c>
      <c r="D1283">
        <v>41</v>
      </c>
      <c r="E1283" t="s">
        <v>26</v>
      </c>
      <c r="F1283" t="s">
        <v>29</v>
      </c>
      <c r="G1283" t="s">
        <v>39</v>
      </c>
      <c r="H1283" s="10">
        <v>46128.709224537037</v>
      </c>
    </row>
    <row r="1284" spans="1:8" x14ac:dyDescent="0.25">
      <c r="A1284">
        <v>1290</v>
      </c>
      <c r="B1284" t="s">
        <v>169</v>
      </c>
      <c r="C1284" t="s">
        <v>77</v>
      </c>
      <c r="D1284">
        <v>31</v>
      </c>
      <c r="E1284" t="s">
        <v>10</v>
      </c>
      <c r="F1284" t="s">
        <v>45</v>
      </c>
      <c r="G1284" t="s">
        <v>16</v>
      </c>
      <c r="H1284" s="10">
        <v>46128.709351851852</v>
      </c>
    </row>
    <row r="1285" spans="1:8" x14ac:dyDescent="0.25">
      <c r="A1285">
        <v>1291</v>
      </c>
      <c r="B1285" t="s">
        <v>1018</v>
      </c>
      <c r="C1285" t="s">
        <v>471</v>
      </c>
      <c r="D1285">
        <v>59</v>
      </c>
      <c r="E1285" t="s">
        <v>19</v>
      </c>
      <c r="F1285" t="s">
        <v>45</v>
      </c>
      <c r="G1285" t="s">
        <v>51</v>
      </c>
      <c r="H1285" s="10">
        <v>46128.709513888891</v>
      </c>
    </row>
    <row r="1286" spans="1:8" x14ac:dyDescent="0.25">
      <c r="A1286">
        <v>1292</v>
      </c>
      <c r="B1286" t="s">
        <v>24</v>
      </c>
      <c r="C1286" t="s">
        <v>59</v>
      </c>
      <c r="D1286">
        <v>34</v>
      </c>
      <c r="E1286" t="s">
        <v>19</v>
      </c>
      <c r="F1286" t="s">
        <v>11</v>
      </c>
      <c r="G1286" t="s">
        <v>23</v>
      </c>
      <c r="H1286" s="10">
        <v>46128.709710648145</v>
      </c>
    </row>
    <row r="1287" spans="1:8" x14ac:dyDescent="0.25">
      <c r="A1287">
        <v>1293</v>
      </c>
      <c r="B1287" t="s">
        <v>630</v>
      </c>
      <c r="C1287" t="s">
        <v>28</v>
      </c>
      <c r="D1287">
        <v>66</v>
      </c>
      <c r="E1287" t="s">
        <v>19</v>
      </c>
      <c r="F1287" t="s">
        <v>29</v>
      </c>
      <c r="G1287" t="s">
        <v>36</v>
      </c>
      <c r="H1287" s="10">
        <v>46128.70989583333</v>
      </c>
    </row>
    <row r="1288" spans="1:8" x14ac:dyDescent="0.25">
      <c r="A1288">
        <v>1294</v>
      </c>
      <c r="B1288" t="s">
        <v>408</v>
      </c>
      <c r="C1288" t="s">
        <v>976</v>
      </c>
      <c r="D1288">
        <v>29</v>
      </c>
      <c r="E1288" t="s">
        <v>19</v>
      </c>
      <c r="F1288" t="s">
        <v>11</v>
      </c>
      <c r="G1288" t="s">
        <v>12</v>
      </c>
      <c r="H1288" s="10">
        <v>46128.710138888891</v>
      </c>
    </row>
    <row r="1289" spans="1:8" x14ac:dyDescent="0.25">
      <c r="A1289">
        <v>1295</v>
      </c>
      <c r="B1289" t="s">
        <v>267</v>
      </c>
      <c r="C1289" t="s">
        <v>348</v>
      </c>
      <c r="D1289">
        <v>53</v>
      </c>
      <c r="E1289" t="s">
        <v>19</v>
      </c>
      <c r="F1289" t="s">
        <v>33</v>
      </c>
      <c r="G1289" t="s">
        <v>12</v>
      </c>
      <c r="H1289" s="10">
        <v>46128.710474537038</v>
      </c>
    </row>
    <row r="1290" spans="1:8" x14ac:dyDescent="0.25">
      <c r="A1290">
        <v>1296</v>
      </c>
      <c r="B1290" t="s">
        <v>1019</v>
      </c>
      <c r="C1290" t="s">
        <v>930</v>
      </c>
      <c r="D1290">
        <v>38</v>
      </c>
      <c r="E1290" t="s">
        <v>26</v>
      </c>
      <c r="F1290" t="s">
        <v>29</v>
      </c>
      <c r="G1290" t="s">
        <v>133</v>
      </c>
      <c r="H1290" s="10">
        <v>46128.710613425923</v>
      </c>
    </row>
    <row r="1291" spans="1:8" x14ac:dyDescent="0.25">
      <c r="A1291">
        <v>1297</v>
      </c>
      <c r="B1291" t="s">
        <v>104</v>
      </c>
      <c r="C1291" t="s">
        <v>1020</v>
      </c>
      <c r="D1291">
        <v>44</v>
      </c>
      <c r="E1291" t="s">
        <v>26</v>
      </c>
      <c r="F1291" t="s">
        <v>33</v>
      </c>
      <c r="G1291" t="s">
        <v>76</v>
      </c>
      <c r="H1291" s="10">
        <v>46128.710879629631</v>
      </c>
    </row>
    <row r="1292" spans="1:8" x14ac:dyDescent="0.25">
      <c r="A1292">
        <v>1298</v>
      </c>
      <c r="B1292" t="s">
        <v>78</v>
      </c>
      <c r="C1292" t="s">
        <v>662</v>
      </c>
      <c r="D1292">
        <v>41</v>
      </c>
      <c r="E1292" t="s">
        <v>10</v>
      </c>
      <c r="F1292" t="s">
        <v>29</v>
      </c>
      <c r="G1292" t="s">
        <v>114</v>
      </c>
      <c r="H1292" s="10">
        <v>46128.711087962962</v>
      </c>
    </row>
    <row r="1293" spans="1:8" x14ac:dyDescent="0.25">
      <c r="A1293">
        <v>1299</v>
      </c>
      <c r="B1293" t="s">
        <v>357</v>
      </c>
      <c r="C1293" t="s">
        <v>428</v>
      </c>
      <c r="D1293">
        <v>32</v>
      </c>
      <c r="E1293" t="s">
        <v>19</v>
      </c>
      <c r="F1293" t="s">
        <v>73</v>
      </c>
      <c r="G1293" t="s">
        <v>12</v>
      </c>
      <c r="H1293" s="10">
        <v>46128.71125</v>
      </c>
    </row>
    <row r="1294" spans="1:8" x14ac:dyDescent="0.25">
      <c r="A1294">
        <v>1300</v>
      </c>
      <c r="B1294" t="s">
        <v>52</v>
      </c>
      <c r="C1294" t="s">
        <v>113</v>
      </c>
      <c r="D1294">
        <v>60</v>
      </c>
      <c r="E1294" t="s">
        <v>26</v>
      </c>
      <c r="F1294" t="s">
        <v>29</v>
      </c>
      <c r="G1294" t="s">
        <v>76</v>
      </c>
      <c r="H1294" s="10">
        <v>46128.711400462962</v>
      </c>
    </row>
    <row r="1295" spans="1:8" x14ac:dyDescent="0.25">
      <c r="A1295">
        <v>1301</v>
      </c>
      <c r="B1295" t="s">
        <v>1021</v>
      </c>
      <c r="C1295" t="s">
        <v>18</v>
      </c>
      <c r="D1295">
        <v>59</v>
      </c>
      <c r="E1295" t="s">
        <v>26</v>
      </c>
      <c r="F1295" t="s">
        <v>29</v>
      </c>
      <c r="G1295" t="s">
        <v>12</v>
      </c>
      <c r="H1295" s="10">
        <v>46128.711550925924</v>
      </c>
    </row>
    <row r="1296" spans="1:8" x14ac:dyDescent="0.25">
      <c r="A1296">
        <v>1302</v>
      </c>
      <c r="B1296" t="s">
        <v>553</v>
      </c>
      <c r="C1296" t="s">
        <v>1022</v>
      </c>
      <c r="D1296">
        <v>61</v>
      </c>
      <c r="E1296" t="s">
        <v>26</v>
      </c>
      <c r="F1296" t="s">
        <v>45</v>
      </c>
      <c r="G1296" t="s">
        <v>133</v>
      </c>
      <c r="H1296" s="10">
        <v>46128.711863425924</v>
      </c>
    </row>
    <row r="1297" spans="1:8" x14ac:dyDescent="0.25">
      <c r="A1297">
        <v>1303</v>
      </c>
      <c r="B1297" t="s">
        <v>149</v>
      </c>
      <c r="C1297" t="s">
        <v>928</v>
      </c>
      <c r="D1297">
        <v>47</v>
      </c>
      <c r="E1297" t="s">
        <v>10</v>
      </c>
      <c r="F1297" t="s">
        <v>33</v>
      </c>
      <c r="G1297" t="s">
        <v>39</v>
      </c>
      <c r="H1297" s="10">
        <v>46128.712083333332</v>
      </c>
    </row>
    <row r="1298" spans="1:8" x14ac:dyDescent="0.25">
      <c r="A1298">
        <v>1304</v>
      </c>
      <c r="B1298" t="s">
        <v>267</v>
      </c>
      <c r="C1298" t="s">
        <v>126</v>
      </c>
      <c r="D1298">
        <v>44</v>
      </c>
      <c r="E1298" t="s">
        <v>26</v>
      </c>
      <c r="F1298" t="s">
        <v>11</v>
      </c>
      <c r="G1298" t="s">
        <v>46</v>
      </c>
      <c r="H1298" s="10">
        <v>46128.712395833332</v>
      </c>
    </row>
    <row r="1299" spans="1:8" x14ac:dyDescent="0.25">
      <c r="A1299">
        <v>1305</v>
      </c>
      <c r="B1299" t="s">
        <v>481</v>
      </c>
      <c r="C1299" t="s">
        <v>50</v>
      </c>
      <c r="D1299">
        <v>41</v>
      </c>
      <c r="E1299" t="s">
        <v>26</v>
      </c>
      <c r="F1299" t="s">
        <v>73</v>
      </c>
      <c r="G1299" t="s">
        <v>23</v>
      </c>
      <c r="H1299" s="10">
        <v>46128.712592592594</v>
      </c>
    </row>
    <row r="1300" spans="1:8" x14ac:dyDescent="0.25">
      <c r="A1300">
        <v>1306</v>
      </c>
      <c r="B1300" t="s">
        <v>1023</v>
      </c>
      <c r="C1300" t="s">
        <v>352</v>
      </c>
      <c r="D1300">
        <v>44</v>
      </c>
      <c r="E1300" t="s">
        <v>10</v>
      </c>
      <c r="F1300" t="s">
        <v>20</v>
      </c>
      <c r="G1300" t="s">
        <v>76</v>
      </c>
      <c r="H1300" s="10">
        <v>46128.712824074071</v>
      </c>
    </row>
    <row r="1301" spans="1:8" x14ac:dyDescent="0.25">
      <c r="A1301">
        <v>1307</v>
      </c>
      <c r="B1301" t="s">
        <v>353</v>
      </c>
      <c r="C1301" t="s">
        <v>529</v>
      </c>
      <c r="D1301">
        <v>55</v>
      </c>
      <c r="E1301" t="s">
        <v>26</v>
      </c>
      <c r="F1301" t="s">
        <v>29</v>
      </c>
      <c r="G1301" t="s">
        <v>12</v>
      </c>
      <c r="H1301" s="10">
        <v>46128.712997685187</v>
      </c>
    </row>
    <row r="1302" spans="1:8" x14ac:dyDescent="0.25">
      <c r="A1302">
        <v>1308</v>
      </c>
      <c r="B1302" t="s">
        <v>84</v>
      </c>
      <c r="C1302" t="s">
        <v>1026</v>
      </c>
      <c r="D1302">
        <v>49</v>
      </c>
      <c r="E1302" t="s">
        <v>26</v>
      </c>
      <c r="F1302" t="s">
        <v>11</v>
      </c>
      <c r="G1302" t="s">
        <v>16</v>
      </c>
      <c r="H1302" s="10">
        <v>46208.463449074072</v>
      </c>
    </row>
    <row r="1303" spans="1:8" x14ac:dyDescent="0.25">
      <c r="A1303">
        <v>1309</v>
      </c>
      <c r="B1303" t="s">
        <v>151</v>
      </c>
      <c r="C1303" t="s">
        <v>1027</v>
      </c>
      <c r="D1303">
        <v>30</v>
      </c>
      <c r="E1303" t="s">
        <v>10</v>
      </c>
      <c r="F1303" t="s">
        <v>33</v>
      </c>
      <c r="G1303" t="s">
        <v>23</v>
      </c>
      <c r="H1303" s="10">
        <v>46208.463692129626</v>
      </c>
    </row>
    <row r="1304" spans="1:8" x14ac:dyDescent="0.25">
      <c r="A1304">
        <v>1310</v>
      </c>
      <c r="B1304" t="s">
        <v>443</v>
      </c>
      <c r="C1304" t="s">
        <v>555</v>
      </c>
      <c r="D1304">
        <v>23</v>
      </c>
      <c r="E1304" t="s">
        <v>26</v>
      </c>
      <c r="F1304" t="s">
        <v>15</v>
      </c>
      <c r="G1304" t="s">
        <v>114</v>
      </c>
      <c r="H1304" s="10">
        <v>46208.463877314818</v>
      </c>
    </row>
    <row r="1305" spans="1:8" x14ac:dyDescent="0.25">
      <c r="A1305">
        <v>1311</v>
      </c>
      <c r="B1305" t="s">
        <v>481</v>
      </c>
      <c r="C1305" t="s">
        <v>730</v>
      </c>
      <c r="D1305">
        <v>62</v>
      </c>
      <c r="E1305" t="s">
        <v>19</v>
      </c>
      <c r="F1305" t="s">
        <v>20</v>
      </c>
      <c r="G1305" t="s">
        <v>30</v>
      </c>
      <c r="H1305" s="10">
        <v>46208.464224537034</v>
      </c>
    </row>
    <row r="1306" spans="1:8" x14ac:dyDescent="0.25">
      <c r="A1306">
        <v>1312</v>
      </c>
      <c r="B1306" t="s">
        <v>160</v>
      </c>
      <c r="C1306" t="s">
        <v>1028</v>
      </c>
      <c r="D1306">
        <v>52</v>
      </c>
      <c r="E1306" t="s">
        <v>26</v>
      </c>
      <c r="F1306" t="s">
        <v>29</v>
      </c>
      <c r="G1306" t="s">
        <v>130</v>
      </c>
      <c r="H1306" s="10">
        <v>46208.464398148149</v>
      </c>
    </row>
    <row r="1307" spans="1:8" x14ac:dyDescent="0.25">
      <c r="A1307">
        <v>1313</v>
      </c>
      <c r="B1307" t="s">
        <v>438</v>
      </c>
      <c r="C1307" t="s">
        <v>332</v>
      </c>
      <c r="D1307">
        <v>52</v>
      </c>
      <c r="E1307" t="s">
        <v>26</v>
      </c>
      <c r="F1307" t="s">
        <v>29</v>
      </c>
      <c r="G1307" t="s">
        <v>39</v>
      </c>
      <c r="H1307" s="10">
        <v>46208.464641203704</v>
      </c>
    </row>
    <row r="1308" spans="1:8" x14ac:dyDescent="0.25">
      <c r="A1308">
        <v>1314</v>
      </c>
      <c r="B1308" t="s">
        <v>262</v>
      </c>
      <c r="C1308" t="s">
        <v>183</v>
      </c>
      <c r="D1308">
        <v>36</v>
      </c>
      <c r="E1308" t="s">
        <v>19</v>
      </c>
      <c r="F1308" t="s">
        <v>20</v>
      </c>
      <c r="G1308" t="s">
        <v>130</v>
      </c>
      <c r="H1308" s="10">
        <v>46208.464884259258</v>
      </c>
    </row>
    <row r="1309" spans="1:8" x14ac:dyDescent="0.25">
      <c r="A1309">
        <v>1315</v>
      </c>
      <c r="B1309" t="s">
        <v>468</v>
      </c>
      <c r="C1309" t="s">
        <v>41</v>
      </c>
      <c r="D1309">
        <v>41</v>
      </c>
      <c r="E1309" t="s">
        <v>26</v>
      </c>
      <c r="F1309" t="s">
        <v>29</v>
      </c>
      <c r="G1309" t="s">
        <v>99</v>
      </c>
      <c r="H1309" s="10">
        <v>46208.46503472222</v>
      </c>
    </row>
    <row r="1310" spans="1:8" x14ac:dyDescent="0.25">
      <c r="A1310">
        <v>1316</v>
      </c>
      <c r="B1310" t="s">
        <v>97</v>
      </c>
      <c r="C1310" t="s">
        <v>899</v>
      </c>
      <c r="D1310">
        <v>52</v>
      </c>
      <c r="E1310" t="s">
        <v>10</v>
      </c>
      <c r="F1310" t="s">
        <v>29</v>
      </c>
      <c r="G1310" t="s">
        <v>114</v>
      </c>
      <c r="H1310" s="10">
        <v>46208.465266203704</v>
      </c>
    </row>
    <row r="1311" spans="1:8" x14ac:dyDescent="0.25">
      <c r="A1311">
        <v>1317</v>
      </c>
      <c r="B1311" t="s">
        <v>659</v>
      </c>
      <c r="C1311" t="s">
        <v>638</v>
      </c>
      <c r="D1311">
        <v>70</v>
      </c>
      <c r="E1311" t="s">
        <v>19</v>
      </c>
      <c r="F1311" t="s">
        <v>20</v>
      </c>
      <c r="G1311" t="s">
        <v>23</v>
      </c>
      <c r="H1311" s="10">
        <v>46208.465590277781</v>
      </c>
    </row>
    <row r="1312" spans="1:8" x14ac:dyDescent="0.25">
      <c r="A1312">
        <v>1318</v>
      </c>
      <c r="B1312" t="s">
        <v>78</v>
      </c>
      <c r="C1312" t="s">
        <v>139</v>
      </c>
      <c r="D1312">
        <v>36</v>
      </c>
      <c r="E1312" t="s">
        <v>19</v>
      </c>
      <c r="F1312" t="s">
        <v>20</v>
      </c>
      <c r="G1312" t="s">
        <v>54</v>
      </c>
      <c r="H1312" s="10">
        <v>46208.465717592589</v>
      </c>
    </row>
    <row r="1313" spans="1:8" x14ac:dyDescent="0.25">
      <c r="A1313">
        <v>1319</v>
      </c>
      <c r="B1313" t="s">
        <v>100</v>
      </c>
      <c r="C1313" t="s">
        <v>237</v>
      </c>
      <c r="D1313">
        <v>65</v>
      </c>
      <c r="E1313" t="s">
        <v>10</v>
      </c>
      <c r="F1313" t="s">
        <v>33</v>
      </c>
      <c r="G1313" t="s">
        <v>51</v>
      </c>
      <c r="H1313" s="10">
        <v>46208.465925925928</v>
      </c>
    </row>
    <row r="1314" spans="1:8" x14ac:dyDescent="0.25">
      <c r="A1314">
        <v>1320</v>
      </c>
      <c r="B1314" t="s">
        <v>97</v>
      </c>
      <c r="C1314" t="s">
        <v>177</v>
      </c>
      <c r="D1314">
        <v>61</v>
      </c>
      <c r="E1314" t="s">
        <v>26</v>
      </c>
      <c r="F1314" t="s">
        <v>45</v>
      </c>
      <c r="G1314" t="s">
        <v>133</v>
      </c>
      <c r="H1314" s="10">
        <v>46208.466053240743</v>
      </c>
    </row>
    <row r="1315" spans="1:8" x14ac:dyDescent="0.25">
      <c r="A1315">
        <v>1321</v>
      </c>
      <c r="B1315" t="s">
        <v>262</v>
      </c>
      <c r="C1315" t="s">
        <v>589</v>
      </c>
      <c r="D1315">
        <v>46</v>
      </c>
      <c r="E1315" t="s">
        <v>19</v>
      </c>
      <c r="F1315" t="s">
        <v>45</v>
      </c>
      <c r="G1315" t="s">
        <v>76</v>
      </c>
      <c r="H1315" s="10">
        <v>46208.46638888889</v>
      </c>
    </row>
    <row r="1316" spans="1:8" x14ac:dyDescent="0.25">
      <c r="A1316">
        <v>1322</v>
      </c>
      <c r="B1316" t="s">
        <v>180</v>
      </c>
      <c r="C1316" t="s">
        <v>1029</v>
      </c>
      <c r="D1316">
        <v>58</v>
      </c>
      <c r="E1316" t="s">
        <v>26</v>
      </c>
      <c r="F1316" t="s">
        <v>73</v>
      </c>
      <c r="G1316" t="s">
        <v>54</v>
      </c>
      <c r="H1316" s="10">
        <v>46208.466550925928</v>
      </c>
    </row>
    <row r="1317" spans="1:8" x14ac:dyDescent="0.25">
      <c r="A1317">
        <v>1323</v>
      </c>
      <c r="B1317" t="s">
        <v>491</v>
      </c>
      <c r="C1317" t="s">
        <v>991</v>
      </c>
      <c r="D1317">
        <v>35</v>
      </c>
      <c r="E1317" t="s">
        <v>10</v>
      </c>
      <c r="F1317" t="s">
        <v>29</v>
      </c>
      <c r="G1317" t="s">
        <v>133</v>
      </c>
      <c r="H1317" s="10">
        <v>46208.466805555552</v>
      </c>
    </row>
    <row r="1318" spans="1:8" x14ac:dyDescent="0.25">
      <c r="A1318">
        <v>1324</v>
      </c>
      <c r="B1318" t="s">
        <v>305</v>
      </c>
      <c r="C1318" t="s">
        <v>439</v>
      </c>
      <c r="D1318">
        <v>67</v>
      </c>
      <c r="E1318" t="s">
        <v>19</v>
      </c>
      <c r="F1318" t="s">
        <v>33</v>
      </c>
      <c r="G1318" t="s">
        <v>130</v>
      </c>
      <c r="H1318" s="10">
        <v>46208.466932870368</v>
      </c>
    </row>
    <row r="1319" spans="1:8" x14ac:dyDescent="0.25">
      <c r="A1319">
        <v>1325</v>
      </c>
      <c r="B1319" t="s">
        <v>131</v>
      </c>
      <c r="C1319" t="s">
        <v>352</v>
      </c>
      <c r="D1319">
        <v>61</v>
      </c>
      <c r="E1319" t="s">
        <v>19</v>
      </c>
      <c r="F1319" t="s">
        <v>20</v>
      </c>
      <c r="G1319" t="s">
        <v>70</v>
      </c>
      <c r="H1319" s="10">
        <v>46208.467152777775</v>
      </c>
    </row>
    <row r="1320" spans="1:8" x14ac:dyDescent="0.25">
      <c r="A1320">
        <v>1326</v>
      </c>
      <c r="B1320" t="s">
        <v>560</v>
      </c>
      <c r="C1320" t="s">
        <v>174</v>
      </c>
      <c r="D1320">
        <v>39</v>
      </c>
      <c r="E1320" t="s">
        <v>10</v>
      </c>
      <c r="F1320" t="s">
        <v>29</v>
      </c>
      <c r="G1320" t="s">
        <v>70</v>
      </c>
      <c r="H1320" s="10">
        <v>46208.467430555553</v>
      </c>
    </row>
    <row r="1321" spans="1:8" x14ac:dyDescent="0.25">
      <c r="A1321">
        <v>1327</v>
      </c>
      <c r="B1321" t="s">
        <v>213</v>
      </c>
      <c r="C1321" t="s">
        <v>329</v>
      </c>
      <c r="D1321">
        <v>55</v>
      </c>
      <c r="E1321" t="s">
        <v>26</v>
      </c>
      <c r="F1321" t="s">
        <v>11</v>
      </c>
      <c r="G1321" t="s">
        <v>16</v>
      </c>
      <c r="H1321" s="10">
        <v>46208.467743055553</v>
      </c>
    </row>
    <row r="1322" spans="1:8" x14ac:dyDescent="0.25">
      <c r="A1322">
        <v>1328</v>
      </c>
      <c r="B1322" t="s">
        <v>287</v>
      </c>
      <c r="C1322" t="s">
        <v>472</v>
      </c>
      <c r="D1322">
        <v>31</v>
      </c>
      <c r="E1322" t="s">
        <v>10</v>
      </c>
      <c r="F1322" t="s">
        <v>45</v>
      </c>
      <c r="G1322" t="s">
        <v>30</v>
      </c>
      <c r="H1322" s="10">
        <v>46208.467893518522</v>
      </c>
    </row>
    <row r="1323" spans="1:8" x14ac:dyDescent="0.25">
      <c r="A1323">
        <v>1329</v>
      </c>
      <c r="B1323" t="s">
        <v>252</v>
      </c>
      <c r="C1323" t="s">
        <v>656</v>
      </c>
      <c r="D1323">
        <v>33</v>
      </c>
      <c r="E1323" t="s">
        <v>26</v>
      </c>
      <c r="F1323" t="s">
        <v>11</v>
      </c>
      <c r="G1323" t="s">
        <v>46</v>
      </c>
      <c r="H1323" s="10">
        <v>46208.468055555553</v>
      </c>
    </row>
    <row r="1324" spans="1:8" x14ac:dyDescent="0.25">
      <c r="A1324">
        <v>1330</v>
      </c>
      <c r="B1324" t="s">
        <v>258</v>
      </c>
      <c r="C1324" t="s">
        <v>1005</v>
      </c>
      <c r="D1324">
        <v>20</v>
      </c>
      <c r="E1324" t="s">
        <v>19</v>
      </c>
      <c r="F1324" t="s">
        <v>15</v>
      </c>
      <c r="G1324" t="s">
        <v>30</v>
      </c>
      <c r="H1324" s="10">
        <v>46208.468321759261</v>
      </c>
    </row>
    <row r="1325" spans="1:8" x14ac:dyDescent="0.25">
      <c r="A1325">
        <v>1331</v>
      </c>
      <c r="B1325" t="s">
        <v>1030</v>
      </c>
      <c r="C1325" t="s">
        <v>634</v>
      </c>
      <c r="D1325">
        <v>58</v>
      </c>
      <c r="E1325" t="s">
        <v>26</v>
      </c>
      <c r="F1325" t="s">
        <v>29</v>
      </c>
      <c r="G1325" t="s">
        <v>54</v>
      </c>
      <c r="H1325" s="10">
        <v>46208.468530092592</v>
      </c>
    </row>
    <row r="1326" spans="1:8" x14ac:dyDescent="0.25">
      <c r="A1326">
        <v>1332</v>
      </c>
      <c r="B1326" t="s">
        <v>97</v>
      </c>
      <c r="C1326" t="s">
        <v>139</v>
      </c>
      <c r="D1326">
        <v>65</v>
      </c>
      <c r="E1326" t="s">
        <v>19</v>
      </c>
      <c r="F1326" t="s">
        <v>73</v>
      </c>
      <c r="G1326" t="s">
        <v>99</v>
      </c>
      <c r="H1326" s="10">
        <v>46208.468726851854</v>
      </c>
    </row>
    <row r="1327" spans="1:8" x14ac:dyDescent="0.25">
      <c r="A1327">
        <v>1333</v>
      </c>
      <c r="B1327" t="s">
        <v>24</v>
      </c>
      <c r="C1327" t="s">
        <v>347</v>
      </c>
      <c r="D1327">
        <v>18</v>
      </c>
      <c r="E1327" t="s">
        <v>26</v>
      </c>
      <c r="F1327" t="s">
        <v>33</v>
      </c>
      <c r="G1327" t="s">
        <v>114</v>
      </c>
      <c r="H1327" s="10">
        <v>46208.468912037039</v>
      </c>
    </row>
    <row r="1328" spans="1:8" x14ac:dyDescent="0.25">
      <c r="A1328">
        <v>1334</v>
      </c>
      <c r="B1328" t="s">
        <v>254</v>
      </c>
      <c r="C1328" t="s">
        <v>139</v>
      </c>
      <c r="D1328">
        <v>37</v>
      </c>
      <c r="E1328" t="s">
        <v>10</v>
      </c>
      <c r="F1328" t="s">
        <v>20</v>
      </c>
      <c r="G1328" t="s">
        <v>99</v>
      </c>
      <c r="H1328" s="10">
        <v>46208.469236111108</v>
      </c>
    </row>
    <row r="1329" spans="1:8" x14ac:dyDescent="0.25">
      <c r="A1329">
        <v>1335</v>
      </c>
      <c r="B1329" t="s">
        <v>192</v>
      </c>
      <c r="C1329" t="s">
        <v>882</v>
      </c>
      <c r="D1329">
        <v>20</v>
      </c>
      <c r="E1329" t="s">
        <v>26</v>
      </c>
      <c r="F1329" t="s">
        <v>20</v>
      </c>
      <c r="G1329" t="s">
        <v>114</v>
      </c>
      <c r="H1329" s="10">
        <v>46208.469513888886</v>
      </c>
    </row>
    <row r="1330" spans="1:8" x14ac:dyDescent="0.25">
      <c r="A1330">
        <v>1336</v>
      </c>
      <c r="B1330" t="s">
        <v>138</v>
      </c>
      <c r="C1330" t="s">
        <v>409</v>
      </c>
      <c r="D1330">
        <v>68</v>
      </c>
      <c r="E1330" t="s">
        <v>10</v>
      </c>
      <c r="F1330" t="s">
        <v>15</v>
      </c>
      <c r="G1330" t="s">
        <v>23</v>
      </c>
      <c r="H1330" s="10">
        <v>46208.469861111109</v>
      </c>
    </row>
    <row r="1331" spans="1:8" x14ac:dyDescent="0.25">
      <c r="A1331">
        <v>1337</v>
      </c>
      <c r="B1331" t="s">
        <v>13</v>
      </c>
      <c r="C1331" t="s">
        <v>273</v>
      </c>
      <c r="D1331">
        <v>18</v>
      </c>
      <c r="E1331" t="s">
        <v>26</v>
      </c>
      <c r="F1331" t="s">
        <v>11</v>
      </c>
      <c r="G1331" t="s">
        <v>42</v>
      </c>
      <c r="H1331" s="10">
        <v>46208.47</v>
      </c>
    </row>
    <row r="1332" spans="1:8" x14ac:dyDescent="0.25">
      <c r="A1332">
        <v>1338</v>
      </c>
      <c r="B1332" t="s">
        <v>43</v>
      </c>
      <c r="C1332" t="s">
        <v>937</v>
      </c>
      <c r="D1332">
        <v>49</v>
      </c>
      <c r="E1332" t="s">
        <v>19</v>
      </c>
      <c r="F1332" t="s">
        <v>20</v>
      </c>
      <c r="G1332" t="s">
        <v>12</v>
      </c>
      <c r="H1332" s="10">
        <v>46208.470335648148</v>
      </c>
    </row>
    <row r="1333" spans="1:8" x14ac:dyDescent="0.25">
      <c r="A1333">
        <v>1339</v>
      </c>
      <c r="B1333" t="s">
        <v>81</v>
      </c>
      <c r="C1333" t="s">
        <v>265</v>
      </c>
      <c r="D1333">
        <v>61</v>
      </c>
      <c r="E1333" t="s">
        <v>26</v>
      </c>
      <c r="F1333" t="s">
        <v>29</v>
      </c>
      <c r="G1333" t="s">
        <v>51</v>
      </c>
      <c r="H1333" s="10">
        <v>46208.470625000002</v>
      </c>
    </row>
    <row r="1334" spans="1:8" x14ac:dyDescent="0.25">
      <c r="A1334">
        <v>1340</v>
      </c>
      <c r="B1334" t="s">
        <v>824</v>
      </c>
      <c r="C1334" t="s">
        <v>1031</v>
      </c>
      <c r="D1334">
        <v>68</v>
      </c>
      <c r="E1334" t="s">
        <v>26</v>
      </c>
      <c r="F1334" t="s">
        <v>45</v>
      </c>
      <c r="G1334" t="s">
        <v>57</v>
      </c>
      <c r="H1334" s="10">
        <v>46208.470891203702</v>
      </c>
    </row>
    <row r="1335" spans="1:8" x14ac:dyDescent="0.25">
      <c r="A1335">
        <v>1341</v>
      </c>
      <c r="B1335" t="s">
        <v>1032</v>
      </c>
      <c r="C1335" t="s">
        <v>263</v>
      </c>
      <c r="D1335">
        <v>64</v>
      </c>
      <c r="E1335" t="s">
        <v>19</v>
      </c>
      <c r="F1335" t="s">
        <v>11</v>
      </c>
      <c r="G1335" t="s">
        <v>46</v>
      </c>
      <c r="H1335" s="10">
        <v>46208.471226851849</v>
      </c>
    </row>
    <row r="1336" spans="1:8" x14ac:dyDescent="0.25">
      <c r="A1336">
        <v>1342</v>
      </c>
      <c r="B1336" t="s">
        <v>507</v>
      </c>
      <c r="C1336" t="s">
        <v>237</v>
      </c>
      <c r="D1336">
        <v>50</v>
      </c>
      <c r="E1336" t="s">
        <v>19</v>
      </c>
      <c r="F1336" t="s">
        <v>45</v>
      </c>
      <c r="G1336" t="s">
        <v>46</v>
      </c>
      <c r="H1336" s="10">
        <v>46208.471504629626</v>
      </c>
    </row>
    <row r="1337" spans="1:8" x14ac:dyDescent="0.25">
      <c r="A1337">
        <v>1343</v>
      </c>
      <c r="B1337" t="s">
        <v>362</v>
      </c>
      <c r="C1337" t="s">
        <v>487</v>
      </c>
      <c r="D1337">
        <v>39</v>
      </c>
      <c r="E1337" t="s">
        <v>19</v>
      </c>
      <c r="F1337" t="s">
        <v>15</v>
      </c>
      <c r="G1337" t="s">
        <v>133</v>
      </c>
      <c r="H1337" s="10">
        <v>46208.471712962964</v>
      </c>
    </row>
    <row r="1338" spans="1:8" x14ac:dyDescent="0.25">
      <c r="A1338">
        <v>1344</v>
      </c>
      <c r="B1338" t="s">
        <v>160</v>
      </c>
      <c r="C1338" t="s">
        <v>94</v>
      </c>
      <c r="D1338">
        <v>53</v>
      </c>
      <c r="E1338" t="s">
        <v>10</v>
      </c>
      <c r="F1338" t="s">
        <v>15</v>
      </c>
      <c r="G1338" t="s">
        <v>57</v>
      </c>
      <c r="H1338" s="10">
        <v>46208.471875000003</v>
      </c>
    </row>
    <row r="1339" spans="1:8" x14ac:dyDescent="0.25">
      <c r="A1339">
        <v>1345</v>
      </c>
      <c r="B1339" t="s">
        <v>78</v>
      </c>
      <c r="C1339" t="s">
        <v>224</v>
      </c>
      <c r="D1339">
        <v>45</v>
      </c>
      <c r="E1339" t="s">
        <v>19</v>
      </c>
      <c r="F1339" t="s">
        <v>33</v>
      </c>
      <c r="G1339" t="s">
        <v>39</v>
      </c>
      <c r="H1339" s="10">
        <v>46208.472013888888</v>
      </c>
    </row>
    <row r="1340" spans="1:8" x14ac:dyDescent="0.25">
      <c r="A1340">
        <v>1346</v>
      </c>
      <c r="B1340" t="s">
        <v>104</v>
      </c>
      <c r="C1340" t="s">
        <v>391</v>
      </c>
      <c r="D1340">
        <v>25</v>
      </c>
      <c r="E1340" t="s">
        <v>10</v>
      </c>
      <c r="F1340" t="s">
        <v>29</v>
      </c>
      <c r="G1340" t="s">
        <v>70</v>
      </c>
      <c r="H1340" s="10">
        <v>46208.47216435185</v>
      </c>
    </row>
    <row r="1341" spans="1:8" x14ac:dyDescent="0.25">
      <c r="A1341">
        <v>1347</v>
      </c>
      <c r="B1341" t="s">
        <v>84</v>
      </c>
      <c r="C1341" t="s">
        <v>612</v>
      </c>
      <c r="D1341">
        <v>33</v>
      </c>
      <c r="E1341" t="s">
        <v>19</v>
      </c>
      <c r="F1341" t="s">
        <v>20</v>
      </c>
      <c r="G1341" t="s">
        <v>65</v>
      </c>
      <c r="H1341" s="10">
        <v>46208.47247685185</v>
      </c>
    </row>
    <row r="1342" spans="1:8" x14ac:dyDescent="0.25">
      <c r="A1342">
        <v>1348</v>
      </c>
      <c r="B1342" t="s">
        <v>270</v>
      </c>
      <c r="C1342" t="s">
        <v>625</v>
      </c>
      <c r="D1342">
        <v>66</v>
      </c>
      <c r="E1342" t="s">
        <v>19</v>
      </c>
      <c r="F1342" t="s">
        <v>45</v>
      </c>
      <c r="G1342" t="s">
        <v>76</v>
      </c>
      <c r="H1342" s="10">
        <v>46208.472777777781</v>
      </c>
    </row>
    <row r="1343" spans="1:8" x14ac:dyDescent="0.25">
      <c r="A1343">
        <v>1349</v>
      </c>
      <c r="B1343" t="s">
        <v>1003</v>
      </c>
      <c r="C1343" t="s">
        <v>892</v>
      </c>
      <c r="D1343">
        <v>55</v>
      </c>
      <c r="E1343" t="s">
        <v>10</v>
      </c>
      <c r="F1343" t="s">
        <v>33</v>
      </c>
      <c r="G1343" t="s">
        <v>30</v>
      </c>
      <c r="H1343" s="10">
        <v>46208.473067129627</v>
      </c>
    </row>
    <row r="1344" spans="1:8" x14ac:dyDescent="0.25">
      <c r="A1344">
        <v>1350</v>
      </c>
      <c r="B1344" t="s">
        <v>24</v>
      </c>
      <c r="C1344" t="s">
        <v>327</v>
      </c>
      <c r="D1344">
        <v>47</v>
      </c>
      <c r="E1344" t="s">
        <v>19</v>
      </c>
      <c r="F1344" t="s">
        <v>33</v>
      </c>
      <c r="G1344" t="s">
        <v>68</v>
      </c>
      <c r="H1344" s="10">
        <v>46208.473321759258</v>
      </c>
    </row>
    <row r="1345" spans="1:8" x14ac:dyDescent="0.25">
      <c r="A1345">
        <v>1351</v>
      </c>
      <c r="B1345" t="s">
        <v>302</v>
      </c>
      <c r="C1345" t="s">
        <v>1033</v>
      </c>
      <c r="D1345">
        <v>29</v>
      </c>
      <c r="E1345" t="s">
        <v>26</v>
      </c>
      <c r="F1345" t="s">
        <v>20</v>
      </c>
      <c r="G1345" t="s">
        <v>46</v>
      </c>
      <c r="H1345" s="10">
        <v>46208.473634259259</v>
      </c>
    </row>
    <row r="1346" spans="1:8" x14ac:dyDescent="0.25">
      <c r="A1346">
        <v>1352</v>
      </c>
      <c r="B1346" t="s">
        <v>81</v>
      </c>
      <c r="C1346" t="s">
        <v>650</v>
      </c>
      <c r="D1346">
        <v>20</v>
      </c>
      <c r="E1346" t="s">
        <v>26</v>
      </c>
      <c r="F1346" t="s">
        <v>33</v>
      </c>
      <c r="G1346" t="s">
        <v>12</v>
      </c>
      <c r="H1346" s="10">
        <v>46208.473923611113</v>
      </c>
    </row>
    <row r="1347" spans="1:8" x14ac:dyDescent="0.25">
      <c r="A1347">
        <v>1353</v>
      </c>
      <c r="B1347" t="s">
        <v>175</v>
      </c>
      <c r="C1347" t="s">
        <v>550</v>
      </c>
      <c r="D1347">
        <v>20</v>
      </c>
      <c r="E1347" t="s">
        <v>26</v>
      </c>
      <c r="F1347" t="s">
        <v>33</v>
      </c>
      <c r="G1347" t="s">
        <v>42</v>
      </c>
      <c r="H1347" s="10">
        <v>46208.474178240744</v>
      </c>
    </row>
    <row r="1348" spans="1:8" x14ac:dyDescent="0.25">
      <c r="A1348">
        <v>1354</v>
      </c>
      <c r="B1348" t="s">
        <v>1034</v>
      </c>
      <c r="C1348" t="s">
        <v>914</v>
      </c>
      <c r="D1348">
        <v>25</v>
      </c>
      <c r="E1348" t="s">
        <v>10</v>
      </c>
      <c r="F1348" t="s">
        <v>45</v>
      </c>
      <c r="G1348" t="s">
        <v>23</v>
      </c>
      <c r="H1348" s="10">
        <v>46208.474351851852</v>
      </c>
    </row>
    <row r="1349" spans="1:8" x14ac:dyDescent="0.25">
      <c r="A1349">
        <v>1355</v>
      </c>
      <c r="B1349" t="s">
        <v>305</v>
      </c>
      <c r="C1349" t="s">
        <v>567</v>
      </c>
      <c r="D1349">
        <v>32</v>
      </c>
      <c r="E1349" t="s">
        <v>26</v>
      </c>
      <c r="F1349" t="s">
        <v>11</v>
      </c>
      <c r="G1349" t="s">
        <v>80</v>
      </c>
      <c r="H1349" s="10">
        <v>46208.474652777775</v>
      </c>
    </row>
    <row r="1350" spans="1:8" x14ac:dyDescent="0.25">
      <c r="A1350">
        <v>1356</v>
      </c>
      <c r="B1350" t="s">
        <v>104</v>
      </c>
      <c r="C1350" t="s">
        <v>406</v>
      </c>
      <c r="D1350">
        <v>58</v>
      </c>
      <c r="E1350" t="s">
        <v>19</v>
      </c>
      <c r="F1350" t="s">
        <v>29</v>
      </c>
      <c r="G1350" t="s">
        <v>99</v>
      </c>
      <c r="H1350" s="10">
        <v>46208.474942129629</v>
      </c>
    </row>
    <row r="1351" spans="1:8" x14ac:dyDescent="0.25">
      <c r="A1351">
        <v>1357</v>
      </c>
      <c r="B1351" t="s">
        <v>47</v>
      </c>
      <c r="C1351" t="s">
        <v>1035</v>
      </c>
      <c r="D1351">
        <v>59</v>
      </c>
      <c r="E1351" t="s">
        <v>10</v>
      </c>
      <c r="F1351" t="s">
        <v>33</v>
      </c>
      <c r="G1351" t="s">
        <v>16</v>
      </c>
      <c r="H1351" s="10">
        <v>46208.475243055553</v>
      </c>
    </row>
    <row r="1352" spans="1:8" x14ac:dyDescent="0.25">
      <c r="A1352">
        <v>1358</v>
      </c>
      <c r="B1352" t="s">
        <v>362</v>
      </c>
      <c r="C1352" t="s">
        <v>1005</v>
      </c>
      <c r="D1352">
        <v>52</v>
      </c>
      <c r="E1352" t="s">
        <v>19</v>
      </c>
      <c r="F1352" t="s">
        <v>73</v>
      </c>
      <c r="G1352" t="s">
        <v>30</v>
      </c>
      <c r="H1352" s="10">
        <v>46208.475358796299</v>
      </c>
    </row>
    <row r="1353" spans="1:8" x14ac:dyDescent="0.25">
      <c r="A1353">
        <v>1359</v>
      </c>
      <c r="B1353" t="s">
        <v>84</v>
      </c>
      <c r="C1353" t="s">
        <v>324</v>
      </c>
      <c r="D1353">
        <v>23</v>
      </c>
      <c r="E1353" t="s">
        <v>19</v>
      </c>
      <c r="F1353" t="s">
        <v>33</v>
      </c>
      <c r="G1353" t="s">
        <v>42</v>
      </c>
      <c r="H1353" s="10">
        <v>46208.475624999999</v>
      </c>
    </row>
    <row r="1354" spans="1:8" x14ac:dyDescent="0.25">
      <c r="A1354">
        <v>1360</v>
      </c>
      <c r="B1354" t="s">
        <v>92</v>
      </c>
      <c r="C1354" t="s">
        <v>194</v>
      </c>
      <c r="D1354">
        <v>60</v>
      </c>
      <c r="E1354" t="s">
        <v>19</v>
      </c>
      <c r="F1354" t="s">
        <v>45</v>
      </c>
      <c r="G1354" t="s">
        <v>99</v>
      </c>
      <c r="H1354" s="10">
        <v>46208.475914351853</v>
      </c>
    </row>
    <row r="1355" spans="1:8" x14ac:dyDescent="0.25">
      <c r="A1355">
        <v>1361</v>
      </c>
      <c r="B1355" t="s">
        <v>69</v>
      </c>
      <c r="C1355" t="s">
        <v>430</v>
      </c>
      <c r="D1355">
        <v>69</v>
      </c>
      <c r="E1355" t="s">
        <v>10</v>
      </c>
      <c r="F1355" t="s">
        <v>15</v>
      </c>
      <c r="G1355" t="s">
        <v>70</v>
      </c>
      <c r="H1355" s="10">
        <v>46208.476099537038</v>
      </c>
    </row>
    <row r="1356" spans="1:8" x14ac:dyDescent="0.25">
      <c r="A1356">
        <v>1362</v>
      </c>
      <c r="B1356" t="s">
        <v>182</v>
      </c>
      <c r="C1356" t="s">
        <v>451</v>
      </c>
      <c r="D1356">
        <v>59</v>
      </c>
      <c r="E1356" t="s">
        <v>26</v>
      </c>
      <c r="F1356" t="s">
        <v>11</v>
      </c>
      <c r="G1356" t="s">
        <v>23</v>
      </c>
      <c r="H1356" s="10">
        <v>46208.476319444446</v>
      </c>
    </row>
    <row r="1357" spans="1:8" x14ac:dyDescent="0.25">
      <c r="A1357">
        <v>1363</v>
      </c>
      <c r="B1357" t="s">
        <v>305</v>
      </c>
      <c r="C1357" t="s">
        <v>1036</v>
      </c>
      <c r="D1357">
        <v>58</v>
      </c>
      <c r="E1357" t="s">
        <v>19</v>
      </c>
      <c r="F1357" t="s">
        <v>29</v>
      </c>
      <c r="G1357" t="s">
        <v>51</v>
      </c>
      <c r="H1357" s="10">
        <v>46208.4765625</v>
      </c>
    </row>
    <row r="1358" spans="1:8" x14ac:dyDescent="0.25">
      <c r="A1358">
        <v>1364</v>
      </c>
      <c r="B1358" t="s">
        <v>876</v>
      </c>
      <c r="C1358" t="s">
        <v>618</v>
      </c>
      <c r="D1358">
        <v>36</v>
      </c>
      <c r="E1358" t="s">
        <v>26</v>
      </c>
      <c r="F1358" t="s">
        <v>29</v>
      </c>
      <c r="G1358" t="s">
        <v>12</v>
      </c>
      <c r="H1358" s="10">
        <v>46208.476747685185</v>
      </c>
    </row>
    <row r="1359" spans="1:8" x14ac:dyDescent="0.25">
      <c r="A1359">
        <v>1365</v>
      </c>
      <c r="B1359" t="s">
        <v>399</v>
      </c>
      <c r="C1359" t="s">
        <v>87</v>
      </c>
      <c r="D1359">
        <v>28</v>
      </c>
      <c r="E1359" t="s">
        <v>19</v>
      </c>
      <c r="F1359" t="s">
        <v>45</v>
      </c>
      <c r="G1359" t="s">
        <v>36</v>
      </c>
      <c r="H1359" s="10">
        <v>46208.476944444446</v>
      </c>
    </row>
    <row r="1360" spans="1:8" x14ac:dyDescent="0.25">
      <c r="A1360">
        <v>1366</v>
      </c>
      <c r="B1360" t="s">
        <v>203</v>
      </c>
      <c r="C1360" t="s">
        <v>1037</v>
      </c>
      <c r="D1360">
        <v>65</v>
      </c>
      <c r="E1360" t="s">
        <v>19</v>
      </c>
      <c r="F1360" t="s">
        <v>73</v>
      </c>
      <c r="G1360" t="s">
        <v>36</v>
      </c>
      <c r="H1360" s="10">
        <v>46208.477175925924</v>
      </c>
    </row>
    <row r="1361" spans="1:8" x14ac:dyDescent="0.25">
      <c r="A1361">
        <v>1367</v>
      </c>
      <c r="B1361" t="s">
        <v>373</v>
      </c>
      <c r="C1361" t="s">
        <v>348</v>
      </c>
      <c r="D1361">
        <v>27</v>
      </c>
      <c r="E1361" t="s">
        <v>26</v>
      </c>
      <c r="F1361" t="s">
        <v>29</v>
      </c>
      <c r="G1361" t="s">
        <v>51</v>
      </c>
      <c r="H1361" s="10">
        <v>46208.477337962962</v>
      </c>
    </row>
    <row r="1362" spans="1:8" x14ac:dyDescent="0.25">
      <c r="A1362">
        <v>1368</v>
      </c>
      <c r="B1362" t="s">
        <v>151</v>
      </c>
      <c r="C1362" t="s">
        <v>75</v>
      </c>
      <c r="D1362">
        <v>54</v>
      </c>
      <c r="E1362" t="s">
        <v>19</v>
      </c>
      <c r="F1362" t="s">
        <v>20</v>
      </c>
      <c r="G1362" t="s">
        <v>130</v>
      </c>
      <c r="H1362" s="10">
        <v>46208.477685185186</v>
      </c>
    </row>
    <row r="1363" spans="1:8" x14ac:dyDescent="0.25">
      <c r="A1363">
        <v>1369</v>
      </c>
      <c r="B1363" t="s">
        <v>633</v>
      </c>
      <c r="C1363" t="s">
        <v>546</v>
      </c>
      <c r="D1363">
        <v>40</v>
      </c>
      <c r="E1363" t="s">
        <v>19</v>
      </c>
      <c r="F1363" t="s">
        <v>11</v>
      </c>
      <c r="G1363" t="s">
        <v>133</v>
      </c>
      <c r="H1363" s="10">
        <v>46208.477800925924</v>
      </c>
    </row>
    <row r="1364" spans="1:8" x14ac:dyDescent="0.25">
      <c r="A1364">
        <v>1370</v>
      </c>
      <c r="B1364" t="s">
        <v>58</v>
      </c>
      <c r="C1364" t="s">
        <v>82</v>
      </c>
      <c r="D1364">
        <v>53</v>
      </c>
      <c r="E1364" t="s">
        <v>19</v>
      </c>
      <c r="F1364" t="s">
        <v>29</v>
      </c>
      <c r="G1364" t="s">
        <v>76</v>
      </c>
      <c r="H1364" s="10">
        <v>46208.478020833332</v>
      </c>
    </row>
    <row r="1365" spans="1:8" x14ac:dyDescent="0.25">
      <c r="A1365">
        <v>1371</v>
      </c>
      <c r="B1365" t="s">
        <v>1038</v>
      </c>
      <c r="C1365" t="s">
        <v>1039</v>
      </c>
      <c r="D1365">
        <v>66</v>
      </c>
      <c r="E1365" t="s">
        <v>26</v>
      </c>
      <c r="F1365" t="s">
        <v>20</v>
      </c>
      <c r="G1365" t="s">
        <v>51</v>
      </c>
      <c r="H1365" s="10">
        <v>46208.478159722225</v>
      </c>
    </row>
    <row r="1366" spans="1:8" x14ac:dyDescent="0.25">
      <c r="A1366">
        <v>1372</v>
      </c>
      <c r="B1366" t="s">
        <v>52</v>
      </c>
      <c r="C1366" t="s">
        <v>139</v>
      </c>
      <c r="D1366">
        <v>29</v>
      </c>
      <c r="E1366" t="s">
        <v>26</v>
      </c>
      <c r="F1366" t="s">
        <v>33</v>
      </c>
      <c r="G1366" t="s">
        <v>39</v>
      </c>
      <c r="H1366" s="10">
        <v>46208.478344907409</v>
      </c>
    </row>
    <row r="1367" spans="1:8" x14ac:dyDescent="0.25">
      <c r="A1367">
        <v>1373</v>
      </c>
      <c r="B1367" t="s">
        <v>699</v>
      </c>
      <c r="C1367" t="s">
        <v>620</v>
      </c>
      <c r="D1367">
        <v>65</v>
      </c>
      <c r="E1367" t="s">
        <v>26</v>
      </c>
      <c r="F1367" t="s">
        <v>45</v>
      </c>
      <c r="G1367" t="s">
        <v>30</v>
      </c>
      <c r="H1367" s="10">
        <v>46208.478530092594</v>
      </c>
    </row>
    <row r="1368" spans="1:8" x14ac:dyDescent="0.25">
      <c r="A1368">
        <v>1374</v>
      </c>
      <c r="B1368" t="s">
        <v>232</v>
      </c>
      <c r="C1368" t="s">
        <v>428</v>
      </c>
      <c r="D1368">
        <v>51</v>
      </c>
      <c r="E1368" t="s">
        <v>10</v>
      </c>
      <c r="F1368" t="s">
        <v>11</v>
      </c>
      <c r="G1368" t="s">
        <v>70</v>
      </c>
      <c r="H1368" s="10">
        <v>46208.478831018518</v>
      </c>
    </row>
    <row r="1369" spans="1:8" x14ac:dyDescent="0.25">
      <c r="A1369">
        <v>1375</v>
      </c>
      <c r="B1369" t="s">
        <v>97</v>
      </c>
      <c r="C1369" t="s">
        <v>930</v>
      </c>
      <c r="D1369">
        <v>23</v>
      </c>
      <c r="E1369" t="s">
        <v>10</v>
      </c>
      <c r="F1369" t="s">
        <v>33</v>
      </c>
      <c r="G1369" t="s">
        <v>30</v>
      </c>
      <c r="H1369" s="10">
        <v>46208.47896990741</v>
      </c>
    </row>
    <row r="1370" spans="1:8" x14ac:dyDescent="0.25">
      <c r="A1370">
        <v>1376</v>
      </c>
      <c r="B1370" t="s">
        <v>885</v>
      </c>
      <c r="C1370" t="s">
        <v>82</v>
      </c>
      <c r="D1370">
        <v>21</v>
      </c>
      <c r="E1370" t="s">
        <v>19</v>
      </c>
      <c r="F1370" t="s">
        <v>73</v>
      </c>
      <c r="G1370" t="s">
        <v>16</v>
      </c>
      <c r="H1370" s="10">
        <v>46208.47928240741</v>
      </c>
    </row>
    <row r="1371" spans="1:8" x14ac:dyDescent="0.25">
      <c r="A1371">
        <v>1377</v>
      </c>
      <c r="B1371" t="s">
        <v>278</v>
      </c>
      <c r="C1371" t="s">
        <v>139</v>
      </c>
      <c r="D1371">
        <v>47</v>
      </c>
      <c r="E1371" t="s">
        <v>10</v>
      </c>
      <c r="F1371" t="s">
        <v>11</v>
      </c>
      <c r="G1371" t="s">
        <v>114</v>
      </c>
      <c r="H1371" s="10">
        <v>46208.479432870372</v>
      </c>
    </row>
    <row r="1372" spans="1:8" x14ac:dyDescent="0.25">
      <c r="A1372">
        <v>1378</v>
      </c>
      <c r="B1372" t="s">
        <v>1040</v>
      </c>
      <c r="C1372" t="s">
        <v>428</v>
      </c>
      <c r="D1372">
        <v>42</v>
      </c>
      <c r="E1372" t="s">
        <v>26</v>
      </c>
      <c r="F1372" t="s">
        <v>11</v>
      </c>
      <c r="G1372" t="s">
        <v>39</v>
      </c>
      <c r="H1372" s="10">
        <v>46208.479664351849</v>
      </c>
    </row>
    <row r="1373" spans="1:8" x14ac:dyDescent="0.25">
      <c r="A1373">
        <v>1379</v>
      </c>
      <c r="B1373" t="s">
        <v>262</v>
      </c>
      <c r="C1373" t="s">
        <v>148</v>
      </c>
      <c r="D1373">
        <v>52</v>
      </c>
      <c r="E1373" t="s">
        <v>26</v>
      </c>
      <c r="F1373" t="s">
        <v>73</v>
      </c>
      <c r="G1373" t="s">
        <v>99</v>
      </c>
      <c r="H1373" s="10">
        <v>46208.480011574073</v>
      </c>
    </row>
    <row r="1374" spans="1:8" x14ac:dyDescent="0.25">
      <c r="A1374">
        <v>1380</v>
      </c>
      <c r="B1374" t="s">
        <v>69</v>
      </c>
      <c r="C1374" t="s">
        <v>705</v>
      </c>
      <c r="D1374">
        <v>67</v>
      </c>
      <c r="E1374" t="s">
        <v>10</v>
      </c>
      <c r="F1374" t="s">
        <v>29</v>
      </c>
      <c r="G1374" t="s">
        <v>12</v>
      </c>
      <c r="H1374" s="10">
        <v>46208.480185185188</v>
      </c>
    </row>
    <row r="1375" spans="1:8" x14ac:dyDescent="0.25">
      <c r="A1375">
        <v>1381</v>
      </c>
      <c r="B1375" t="s">
        <v>100</v>
      </c>
      <c r="C1375" t="s">
        <v>1041</v>
      </c>
      <c r="D1375">
        <v>37</v>
      </c>
      <c r="E1375" t="s">
        <v>10</v>
      </c>
      <c r="F1375" t="s">
        <v>29</v>
      </c>
      <c r="G1375" t="s">
        <v>12</v>
      </c>
      <c r="H1375" s="10">
        <v>46208.480381944442</v>
      </c>
    </row>
    <row r="1376" spans="1:8" x14ac:dyDescent="0.25">
      <c r="A1376">
        <v>1382</v>
      </c>
      <c r="B1376" t="s">
        <v>62</v>
      </c>
      <c r="C1376" t="s">
        <v>487</v>
      </c>
      <c r="D1376">
        <v>52</v>
      </c>
      <c r="E1376" t="s">
        <v>19</v>
      </c>
      <c r="F1376" t="s">
        <v>73</v>
      </c>
      <c r="G1376" t="s">
        <v>16</v>
      </c>
      <c r="H1376" s="10">
        <v>46208.480613425927</v>
      </c>
    </row>
    <row r="1377" spans="1:8" x14ac:dyDescent="0.25">
      <c r="A1377">
        <v>1383</v>
      </c>
      <c r="B1377" t="s">
        <v>1042</v>
      </c>
      <c r="C1377" t="s">
        <v>139</v>
      </c>
      <c r="D1377">
        <v>46</v>
      </c>
      <c r="E1377" t="s">
        <v>19</v>
      </c>
      <c r="F1377" t="s">
        <v>29</v>
      </c>
      <c r="G1377" t="s">
        <v>42</v>
      </c>
      <c r="H1377" s="10">
        <v>46208.480949074074</v>
      </c>
    </row>
    <row r="1378" spans="1:8" x14ac:dyDescent="0.25">
      <c r="A1378">
        <v>1384</v>
      </c>
      <c r="B1378" t="s">
        <v>151</v>
      </c>
      <c r="C1378" t="s">
        <v>616</v>
      </c>
      <c r="D1378">
        <v>61</v>
      </c>
      <c r="E1378" t="s">
        <v>19</v>
      </c>
      <c r="F1378" t="s">
        <v>33</v>
      </c>
      <c r="G1378" t="s">
        <v>57</v>
      </c>
      <c r="H1378" s="10">
        <v>46208.481238425928</v>
      </c>
    </row>
    <row r="1379" spans="1:8" x14ac:dyDescent="0.25">
      <c r="A1379">
        <v>1385</v>
      </c>
      <c r="B1379" t="s">
        <v>803</v>
      </c>
      <c r="C1379" t="s">
        <v>1043</v>
      </c>
      <c r="D1379">
        <v>64</v>
      </c>
      <c r="E1379" t="s">
        <v>19</v>
      </c>
      <c r="F1379" t="s">
        <v>11</v>
      </c>
      <c r="G1379" t="s">
        <v>12</v>
      </c>
      <c r="H1379" s="10">
        <v>46208.481585648151</v>
      </c>
    </row>
    <row r="1380" spans="1:8" x14ac:dyDescent="0.25">
      <c r="A1380">
        <v>1386</v>
      </c>
      <c r="B1380" t="s">
        <v>1044</v>
      </c>
      <c r="C1380" t="s">
        <v>35</v>
      </c>
      <c r="D1380">
        <v>32</v>
      </c>
      <c r="E1380" t="s">
        <v>10</v>
      </c>
      <c r="F1380" t="s">
        <v>29</v>
      </c>
      <c r="G1380" t="s">
        <v>46</v>
      </c>
      <c r="H1380" s="10">
        <v>46208.481840277775</v>
      </c>
    </row>
    <row r="1381" spans="1:8" x14ac:dyDescent="0.25">
      <c r="A1381">
        <v>1387</v>
      </c>
      <c r="B1381" t="s">
        <v>142</v>
      </c>
      <c r="C1381" t="s">
        <v>402</v>
      </c>
      <c r="D1381">
        <v>54</v>
      </c>
      <c r="E1381" t="s">
        <v>26</v>
      </c>
      <c r="F1381" t="s">
        <v>33</v>
      </c>
      <c r="G1381" t="s">
        <v>39</v>
      </c>
      <c r="H1381" s="10">
        <v>46208.482060185182</v>
      </c>
    </row>
    <row r="1382" spans="1:8" x14ac:dyDescent="0.25">
      <c r="A1382">
        <v>1388</v>
      </c>
      <c r="B1382" t="s">
        <v>127</v>
      </c>
      <c r="C1382" t="s">
        <v>501</v>
      </c>
      <c r="D1382">
        <v>57</v>
      </c>
      <c r="E1382" t="s">
        <v>19</v>
      </c>
      <c r="F1382" t="s">
        <v>45</v>
      </c>
      <c r="G1382" t="s">
        <v>30</v>
      </c>
      <c r="H1382" s="10">
        <v>46208.482199074075</v>
      </c>
    </row>
    <row r="1383" spans="1:8" x14ac:dyDescent="0.25">
      <c r="A1383">
        <v>1389</v>
      </c>
      <c r="B1383" t="s">
        <v>69</v>
      </c>
      <c r="C1383" t="s">
        <v>64</v>
      </c>
      <c r="D1383">
        <v>51</v>
      </c>
      <c r="E1383" t="s">
        <v>26</v>
      </c>
      <c r="F1383" t="s">
        <v>11</v>
      </c>
      <c r="G1383" t="s">
        <v>70</v>
      </c>
      <c r="H1383" s="10">
        <v>46208.482407407406</v>
      </c>
    </row>
    <row r="1384" spans="1:8" x14ac:dyDescent="0.25">
      <c r="A1384">
        <v>1390</v>
      </c>
      <c r="B1384" t="s">
        <v>127</v>
      </c>
      <c r="C1384" t="s">
        <v>176</v>
      </c>
      <c r="D1384">
        <v>49</v>
      </c>
      <c r="E1384" t="s">
        <v>26</v>
      </c>
      <c r="F1384" t="s">
        <v>29</v>
      </c>
      <c r="G1384" t="s">
        <v>99</v>
      </c>
      <c r="H1384" s="10">
        <v>46208.482569444444</v>
      </c>
    </row>
    <row r="1385" spans="1:8" x14ac:dyDescent="0.25">
      <c r="A1385">
        <v>1391</v>
      </c>
      <c r="B1385" t="s">
        <v>199</v>
      </c>
      <c r="C1385" t="s">
        <v>56</v>
      </c>
      <c r="D1385">
        <v>60</v>
      </c>
      <c r="E1385" t="s">
        <v>19</v>
      </c>
      <c r="F1385" t="s">
        <v>73</v>
      </c>
      <c r="G1385" t="s">
        <v>76</v>
      </c>
      <c r="H1385" s="10">
        <v>46208.482708333337</v>
      </c>
    </row>
    <row r="1386" spans="1:8" x14ac:dyDescent="0.25">
      <c r="A1386">
        <v>1392</v>
      </c>
      <c r="B1386" t="s">
        <v>488</v>
      </c>
      <c r="C1386" t="s">
        <v>1045</v>
      </c>
      <c r="D1386">
        <v>60</v>
      </c>
      <c r="E1386" t="s">
        <v>10</v>
      </c>
      <c r="F1386" t="s">
        <v>29</v>
      </c>
      <c r="G1386" t="s">
        <v>130</v>
      </c>
      <c r="H1386" s="10">
        <v>46208.482824074075</v>
      </c>
    </row>
    <row r="1387" spans="1:8" x14ac:dyDescent="0.25">
      <c r="A1387">
        <v>1393</v>
      </c>
      <c r="B1387" t="s">
        <v>474</v>
      </c>
      <c r="C1387" t="s">
        <v>109</v>
      </c>
      <c r="D1387">
        <v>21</v>
      </c>
      <c r="E1387" t="s">
        <v>19</v>
      </c>
      <c r="F1387" t="s">
        <v>11</v>
      </c>
      <c r="G1387" t="s">
        <v>51</v>
      </c>
      <c r="H1387" s="10">
        <v>46208.48300925926</v>
      </c>
    </row>
    <row r="1388" spans="1:8" x14ac:dyDescent="0.25">
      <c r="A1388">
        <v>1394</v>
      </c>
      <c r="B1388" t="s">
        <v>24</v>
      </c>
      <c r="C1388" t="s">
        <v>490</v>
      </c>
      <c r="D1388">
        <v>24</v>
      </c>
      <c r="E1388" t="s">
        <v>26</v>
      </c>
      <c r="F1388" t="s">
        <v>20</v>
      </c>
      <c r="G1388" t="s">
        <v>30</v>
      </c>
      <c r="H1388" s="10">
        <v>46208.483356481483</v>
      </c>
    </row>
    <row r="1389" spans="1:8" x14ac:dyDescent="0.25">
      <c r="A1389">
        <v>1395</v>
      </c>
      <c r="B1389" t="s">
        <v>1046</v>
      </c>
      <c r="C1389" t="s">
        <v>1047</v>
      </c>
      <c r="D1389">
        <v>19</v>
      </c>
      <c r="E1389" t="s">
        <v>10</v>
      </c>
      <c r="F1389" t="s">
        <v>33</v>
      </c>
      <c r="G1389" t="s">
        <v>99</v>
      </c>
      <c r="H1389" s="10">
        <v>46208.483518518522</v>
      </c>
    </row>
    <row r="1390" spans="1:8" x14ac:dyDescent="0.25">
      <c r="A1390">
        <v>1396</v>
      </c>
      <c r="B1390" t="s">
        <v>59</v>
      </c>
      <c r="C1390" t="s">
        <v>211</v>
      </c>
      <c r="D1390">
        <v>49</v>
      </c>
      <c r="E1390" t="s">
        <v>19</v>
      </c>
      <c r="F1390" t="s">
        <v>29</v>
      </c>
      <c r="G1390" t="s">
        <v>65</v>
      </c>
      <c r="H1390" s="10">
        <v>46208.483831018515</v>
      </c>
    </row>
    <row r="1391" spans="1:8" x14ac:dyDescent="0.25">
      <c r="A1391">
        <v>1397</v>
      </c>
      <c r="B1391" t="s">
        <v>926</v>
      </c>
      <c r="C1391" t="s">
        <v>128</v>
      </c>
      <c r="D1391">
        <v>49</v>
      </c>
      <c r="E1391" t="s">
        <v>19</v>
      </c>
      <c r="F1391" t="s">
        <v>33</v>
      </c>
      <c r="G1391" t="s">
        <v>130</v>
      </c>
      <c r="H1391" s="10">
        <v>46208.484016203707</v>
      </c>
    </row>
    <row r="1392" spans="1:8" x14ac:dyDescent="0.25">
      <c r="A1392">
        <v>1398</v>
      </c>
      <c r="B1392" t="s">
        <v>13</v>
      </c>
      <c r="C1392" t="s">
        <v>1048</v>
      </c>
      <c r="D1392">
        <v>69</v>
      </c>
      <c r="E1392" t="s">
        <v>10</v>
      </c>
      <c r="F1392" t="s">
        <v>11</v>
      </c>
      <c r="G1392" t="s">
        <v>23</v>
      </c>
      <c r="H1392" s="10">
        <v>46208.484166666669</v>
      </c>
    </row>
    <row r="1393" spans="1:8" x14ac:dyDescent="0.25">
      <c r="A1393">
        <v>1399</v>
      </c>
      <c r="B1393" t="s">
        <v>521</v>
      </c>
      <c r="C1393" t="s">
        <v>391</v>
      </c>
      <c r="D1393">
        <v>46</v>
      </c>
      <c r="E1393" t="s">
        <v>26</v>
      </c>
      <c r="F1393" t="s">
        <v>29</v>
      </c>
      <c r="G1393" t="s">
        <v>80</v>
      </c>
      <c r="H1393" s="10">
        <v>46208.484305555554</v>
      </c>
    </row>
    <row r="1394" spans="1:8" x14ac:dyDescent="0.25">
      <c r="A1394">
        <v>1400</v>
      </c>
      <c r="B1394" t="s">
        <v>934</v>
      </c>
      <c r="C1394" t="s">
        <v>176</v>
      </c>
      <c r="D1394">
        <v>42</v>
      </c>
      <c r="E1394" t="s">
        <v>10</v>
      </c>
      <c r="F1394" t="s">
        <v>20</v>
      </c>
      <c r="G1394" t="s">
        <v>133</v>
      </c>
      <c r="H1394" s="10">
        <v>46208.484490740739</v>
      </c>
    </row>
    <row r="1395" spans="1:8" x14ac:dyDescent="0.25">
      <c r="A1395">
        <v>1401</v>
      </c>
      <c r="B1395" t="s">
        <v>223</v>
      </c>
      <c r="C1395" t="s">
        <v>91</v>
      </c>
      <c r="D1395">
        <v>22</v>
      </c>
      <c r="E1395" t="s">
        <v>26</v>
      </c>
      <c r="F1395" t="s">
        <v>33</v>
      </c>
      <c r="G1395" t="s">
        <v>16</v>
      </c>
      <c r="H1395" s="10">
        <v>46208.484652777777</v>
      </c>
    </row>
    <row r="1396" spans="1:8" x14ac:dyDescent="0.25">
      <c r="A1396">
        <v>1402</v>
      </c>
      <c r="B1396" t="s">
        <v>657</v>
      </c>
      <c r="C1396" t="s">
        <v>602</v>
      </c>
      <c r="D1396">
        <v>44</v>
      </c>
      <c r="E1396" t="s">
        <v>10</v>
      </c>
      <c r="F1396" t="s">
        <v>73</v>
      </c>
      <c r="G1396" t="s">
        <v>80</v>
      </c>
      <c r="H1396" s="10">
        <v>46208.484849537039</v>
      </c>
    </row>
    <row r="1397" spans="1:8" x14ac:dyDescent="0.25">
      <c r="A1397">
        <v>1403</v>
      </c>
      <c r="B1397" t="s">
        <v>558</v>
      </c>
      <c r="C1397" t="s">
        <v>487</v>
      </c>
      <c r="D1397">
        <v>58</v>
      </c>
      <c r="E1397" t="s">
        <v>10</v>
      </c>
      <c r="F1397" t="s">
        <v>15</v>
      </c>
      <c r="G1397" t="s">
        <v>30</v>
      </c>
      <c r="H1397" s="10">
        <v>46208.484988425924</v>
      </c>
    </row>
    <row r="1398" spans="1:8" x14ac:dyDescent="0.25">
      <c r="A1398">
        <v>1404</v>
      </c>
      <c r="B1398" t="s">
        <v>793</v>
      </c>
      <c r="C1398" t="s">
        <v>286</v>
      </c>
      <c r="D1398">
        <v>61</v>
      </c>
      <c r="E1398" t="s">
        <v>19</v>
      </c>
      <c r="F1398" t="s">
        <v>20</v>
      </c>
      <c r="G1398" t="s">
        <v>76</v>
      </c>
      <c r="H1398" s="10">
        <v>46208.485115740739</v>
      </c>
    </row>
    <row r="1399" spans="1:8" x14ac:dyDescent="0.25">
      <c r="A1399">
        <v>1405</v>
      </c>
      <c r="B1399" t="s">
        <v>58</v>
      </c>
      <c r="C1399" t="s">
        <v>962</v>
      </c>
      <c r="D1399">
        <v>58</v>
      </c>
      <c r="E1399" t="s">
        <v>26</v>
      </c>
      <c r="F1399" t="s">
        <v>15</v>
      </c>
      <c r="G1399" t="s">
        <v>99</v>
      </c>
      <c r="H1399" s="10">
        <v>46208.485393518517</v>
      </c>
    </row>
    <row r="1400" spans="1:8" x14ac:dyDescent="0.25">
      <c r="A1400">
        <v>1406</v>
      </c>
      <c r="B1400" t="s">
        <v>641</v>
      </c>
      <c r="C1400" t="s">
        <v>452</v>
      </c>
      <c r="D1400">
        <v>32</v>
      </c>
      <c r="E1400" t="s">
        <v>10</v>
      </c>
      <c r="F1400" t="s">
        <v>73</v>
      </c>
      <c r="G1400" t="s">
        <v>51</v>
      </c>
      <c r="H1400" s="10">
        <v>46208.485543981478</v>
      </c>
    </row>
    <row r="1401" spans="1:8" x14ac:dyDescent="0.25">
      <c r="A1401">
        <v>1407</v>
      </c>
      <c r="B1401" t="s">
        <v>378</v>
      </c>
      <c r="C1401" t="s">
        <v>1026</v>
      </c>
      <c r="D1401">
        <v>26</v>
      </c>
      <c r="E1401" t="s">
        <v>26</v>
      </c>
      <c r="F1401" t="s">
        <v>45</v>
      </c>
      <c r="G1401" t="s">
        <v>114</v>
      </c>
      <c r="H1401" s="10">
        <v>46208.485868055555</v>
      </c>
    </row>
  </sheetData>
  <phoneticPr fontId="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3CC5B-662F-4A85-95FA-85EA454DD7B1}">
  <dimension ref="D2:R25"/>
  <sheetViews>
    <sheetView workbookViewId="0">
      <selection activeCell="E18" sqref="E18"/>
    </sheetView>
  </sheetViews>
  <sheetFormatPr defaultRowHeight="15" x14ac:dyDescent="0.25"/>
  <cols>
    <col min="4" max="4" width="15.42578125" bestFit="1" customWidth="1"/>
    <col min="5" max="5" width="16.28515625" bestFit="1" customWidth="1"/>
    <col min="6" max="6" width="5.5703125" bestFit="1" customWidth="1"/>
    <col min="7" max="7" width="6.140625" bestFit="1" customWidth="1"/>
    <col min="8" max="8" width="11.28515625" bestFit="1" customWidth="1"/>
    <col min="10" max="10" width="14" bestFit="1" customWidth="1"/>
    <col min="11" max="11" width="10.7109375" bestFit="1" customWidth="1"/>
  </cols>
  <sheetData>
    <row r="2" spans="4:18" x14ac:dyDescent="0.25">
      <c r="L2" s="39" t="s">
        <v>536</v>
      </c>
      <c r="M2" s="39"/>
      <c r="N2" s="39"/>
      <c r="O2" s="39"/>
      <c r="P2" s="39"/>
      <c r="Q2" s="39"/>
      <c r="R2" s="39"/>
    </row>
    <row r="3" spans="4:18" x14ac:dyDescent="0.25">
      <c r="D3" s="2" t="s">
        <v>338</v>
      </c>
      <c r="E3" s="2" t="s">
        <v>339</v>
      </c>
      <c r="L3" s="39" t="s">
        <v>536</v>
      </c>
      <c r="M3" s="39"/>
      <c r="N3" s="39"/>
      <c r="O3" s="39"/>
      <c r="P3" s="39"/>
      <c r="Q3" s="39"/>
      <c r="R3" s="39"/>
    </row>
    <row r="4" spans="4:18" x14ac:dyDescent="0.25">
      <c r="D4" s="2" t="s">
        <v>336</v>
      </c>
      <c r="E4" t="s">
        <v>26</v>
      </c>
      <c r="F4" t="s">
        <v>10</v>
      </c>
      <c r="G4" t="s">
        <v>19</v>
      </c>
      <c r="H4" t="s">
        <v>337</v>
      </c>
      <c r="L4" s="39" t="s">
        <v>536</v>
      </c>
      <c r="M4" s="39"/>
      <c r="N4" s="39"/>
      <c r="O4" s="39"/>
      <c r="P4" s="39"/>
      <c r="Q4" s="39"/>
      <c r="R4" s="39"/>
    </row>
    <row r="5" spans="4:18" x14ac:dyDescent="0.25">
      <c r="D5" s="3" t="s">
        <v>33</v>
      </c>
      <c r="E5" s="40">
        <v>71</v>
      </c>
      <c r="F5" s="40">
        <v>60</v>
      </c>
      <c r="G5" s="40">
        <v>64</v>
      </c>
      <c r="H5" s="40">
        <v>195</v>
      </c>
    </row>
    <row r="6" spans="4:18" x14ac:dyDescent="0.25">
      <c r="D6" s="3" t="s">
        <v>337</v>
      </c>
      <c r="E6" s="40">
        <v>71</v>
      </c>
      <c r="F6" s="40">
        <v>60</v>
      </c>
      <c r="G6" s="40">
        <v>64</v>
      </c>
      <c r="H6" s="40">
        <v>195</v>
      </c>
    </row>
    <row r="10" spans="4:18" x14ac:dyDescent="0.25">
      <c r="E10" s="2" t="s">
        <v>336</v>
      </c>
      <c r="F10" t="s">
        <v>789</v>
      </c>
    </row>
    <row r="11" spans="4:18" x14ac:dyDescent="0.25">
      <c r="E11" s="3" t="s">
        <v>29</v>
      </c>
      <c r="F11">
        <v>66</v>
      </c>
    </row>
    <row r="12" spans="4:18" x14ac:dyDescent="0.25">
      <c r="E12" s="26" t="s">
        <v>19</v>
      </c>
      <c r="F12">
        <v>66</v>
      </c>
    </row>
    <row r="13" spans="4:18" x14ac:dyDescent="0.25">
      <c r="E13" s="3" t="s">
        <v>33</v>
      </c>
      <c r="F13">
        <v>64</v>
      </c>
    </row>
    <row r="14" spans="4:18" x14ac:dyDescent="0.25">
      <c r="E14" s="26" t="s">
        <v>19</v>
      </c>
      <c r="F14">
        <v>64</v>
      </c>
    </row>
    <row r="15" spans="4:18" x14ac:dyDescent="0.25">
      <c r="E15" s="3" t="s">
        <v>11</v>
      </c>
      <c r="F15">
        <v>67</v>
      </c>
    </row>
    <row r="16" spans="4:18" x14ac:dyDescent="0.25">
      <c r="E16" s="26" t="s">
        <v>19</v>
      </c>
      <c r="F16">
        <v>67</v>
      </c>
    </row>
    <row r="17" spans="5:6" x14ac:dyDescent="0.25">
      <c r="E17" s="3" t="s">
        <v>45</v>
      </c>
      <c r="F17">
        <v>63</v>
      </c>
    </row>
    <row r="18" spans="5:6" x14ac:dyDescent="0.25">
      <c r="E18" s="26" t="s">
        <v>19</v>
      </c>
      <c r="F18">
        <v>63</v>
      </c>
    </row>
    <row r="19" spans="5:6" x14ac:dyDescent="0.25">
      <c r="E19" s="3" t="s">
        <v>15</v>
      </c>
      <c r="F19">
        <v>69</v>
      </c>
    </row>
    <row r="20" spans="5:6" x14ac:dyDescent="0.25">
      <c r="E20" s="26" t="s">
        <v>19</v>
      </c>
      <c r="F20">
        <v>69</v>
      </c>
    </row>
    <row r="21" spans="5:6" x14ac:dyDescent="0.25">
      <c r="E21" s="3" t="s">
        <v>73</v>
      </c>
      <c r="F21">
        <v>75</v>
      </c>
    </row>
    <row r="22" spans="5:6" x14ac:dyDescent="0.25">
      <c r="E22" s="26" t="s">
        <v>19</v>
      </c>
      <c r="F22">
        <v>75</v>
      </c>
    </row>
    <row r="23" spans="5:6" x14ac:dyDescent="0.25">
      <c r="E23" s="3" t="s">
        <v>20</v>
      </c>
      <c r="F23">
        <v>69</v>
      </c>
    </row>
    <row r="24" spans="5:6" x14ac:dyDescent="0.25">
      <c r="E24" s="26" t="s">
        <v>19</v>
      </c>
      <c r="F24">
        <v>69</v>
      </c>
    </row>
    <row r="25" spans="5:6" x14ac:dyDescent="0.25">
      <c r="E25" s="3" t="s">
        <v>337</v>
      </c>
      <c r="F25">
        <v>473</v>
      </c>
    </row>
  </sheetData>
  <mergeCells count="3">
    <mergeCell ref="L2:R2"/>
    <mergeCell ref="L3:R3"/>
    <mergeCell ref="L4:R4"/>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AA9C-A28F-4352-9F6D-D163EAF274B5}">
  <sheetPr>
    <tabColor theme="1" tint="0.249977111117893"/>
  </sheetPr>
  <dimension ref="A1:O281"/>
  <sheetViews>
    <sheetView zoomScale="80" zoomScaleNormal="80" workbookViewId="0">
      <selection activeCell="M13" sqref="M13"/>
    </sheetView>
  </sheetViews>
  <sheetFormatPr defaultRowHeight="15" x14ac:dyDescent="0.25"/>
  <cols>
    <col min="1" max="1" width="5.7109375" bestFit="1" customWidth="1"/>
    <col min="2" max="2" width="19.140625" bestFit="1" customWidth="1"/>
    <col min="3" max="3" width="17" bestFit="1" customWidth="1"/>
    <col min="4" max="4" width="15.28515625" bestFit="1" customWidth="1"/>
    <col min="5" max="5" width="19.28515625" bestFit="1" customWidth="1"/>
    <col min="6" max="6" width="25" bestFit="1" customWidth="1"/>
    <col min="7" max="7" width="21" bestFit="1" customWidth="1"/>
    <col min="8" max="8" width="9.42578125" bestFit="1" customWidth="1"/>
    <col min="9" max="9" width="9.28515625" bestFit="1" customWidth="1"/>
    <col min="10" max="10" width="16.42578125" bestFit="1" customWidth="1"/>
    <col min="11" max="11" width="17.140625" bestFit="1" customWidth="1"/>
    <col min="15" max="15" width="21.140625" bestFit="1" customWidth="1"/>
  </cols>
  <sheetData>
    <row r="1" spans="1:11" x14ac:dyDescent="0.25">
      <c r="A1" t="s">
        <v>0</v>
      </c>
      <c r="B1" t="s">
        <v>843</v>
      </c>
      <c r="C1" t="s">
        <v>6</v>
      </c>
      <c r="D1" t="s">
        <v>5</v>
      </c>
      <c r="E1" t="s">
        <v>844</v>
      </c>
      <c r="F1" t="s">
        <v>845</v>
      </c>
      <c r="G1" t="s">
        <v>846</v>
      </c>
      <c r="H1" t="s">
        <v>847</v>
      </c>
      <c r="I1" t="s">
        <v>848</v>
      </c>
      <c r="J1" t="s">
        <v>849</v>
      </c>
      <c r="K1" t="s">
        <v>7</v>
      </c>
    </row>
    <row r="2" spans="1:11" x14ac:dyDescent="0.25">
      <c r="A2">
        <v>1</v>
      </c>
      <c r="B2" t="s">
        <v>850</v>
      </c>
      <c r="C2" t="s">
        <v>57</v>
      </c>
      <c r="D2" t="s">
        <v>11</v>
      </c>
      <c r="E2">
        <v>452</v>
      </c>
      <c r="F2">
        <v>1.6</v>
      </c>
      <c r="G2">
        <v>14.65</v>
      </c>
      <c r="H2" t="s">
        <v>851</v>
      </c>
      <c r="I2">
        <v>4.5999999999999996</v>
      </c>
      <c r="J2" s="10">
        <v>46121</v>
      </c>
      <c r="K2" s="27">
        <v>46121.610729166663</v>
      </c>
    </row>
    <row r="3" spans="1:11" x14ac:dyDescent="0.25">
      <c r="A3">
        <v>2</v>
      </c>
      <c r="B3" t="s">
        <v>852</v>
      </c>
      <c r="C3" t="s">
        <v>130</v>
      </c>
      <c r="D3" t="s">
        <v>15</v>
      </c>
      <c r="E3">
        <v>363</v>
      </c>
      <c r="F3">
        <v>2.4</v>
      </c>
      <c r="G3">
        <v>16.63</v>
      </c>
      <c r="H3" t="s">
        <v>853</v>
      </c>
      <c r="I3">
        <v>4</v>
      </c>
      <c r="J3" s="10">
        <v>46121</v>
      </c>
      <c r="K3" s="27">
        <v>46121.610902777778</v>
      </c>
    </row>
    <row r="4" spans="1:11" x14ac:dyDescent="0.25">
      <c r="A4">
        <v>3</v>
      </c>
      <c r="B4" t="s">
        <v>854</v>
      </c>
      <c r="C4" t="s">
        <v>130</v>
      </c>
      <c r="D4" t="s">
        <v>15</v>
      </c>
      <c r="E4">
        <v>325</v>
      </c>
      <c r="F4">
        <v>6.8</v>
      </c>
      <c r="G4">
        <v>22.62</v>
      </c>
      <c r="H4" t="s">
        <v>851</v>
      </c>
      <c r="I4">
        <v>3.5</v>
      </c>
      <c r="J4" s="10">
        <v>46121</v>
      </c>
      <c r="K4" s="27">
        <v>46121.611168981479</v>
      </c>
    </row>
    <row r="5" spans="1:11" x14ac:dyDescent="0.25">
      <c r="A5">
        <v>4</v>
      </c>
      <c r="B5" t="s">
        <v>855</v>
      </c>
      <c r="C5" t="s">
        <v>472</v>
      </c>
      <c r="D5" t="s">
        <v>45</v>
      </c>
      <c r="E5">
        <v>338</v>
      </c>
      <c r="F5">
        <v>3.5</v>
      </c>
      <c r="G5">
        <v>9.14</v>
      </c>
      <c r="H5" t="s">
        <v>851</v>
      </c>
      <c r="I5">
        <v>5</v>
      </c>
      <c r="J5" s="10">
        <v>46121</v>
      </c>
      <c r="K5" s="27">
        <v>46121.611284722225</v>
      </c>
    </row>
    <row r="6" spans="1:11" x14ac:dyDescent="0.25">
      <c r="A6">
        <v>5</v>
      </c>
      <c r="B6" t="s">
        <v>856</v>
      </c>
      <c r="C6" t="s">
        <v>30</v>
      </c>
      <c r="D6" t="s">
        <v>11</v>
      </c>
      <c r="E6">
        <v>226</v>
      </c>
      <c r="F6">
        <v>2.1</v>
      </c>
      <c r="G6">
        <v>7.69</v>
      </c>
      <c r="H6" t="s">
        <v>851</v>
      </c>
      <c r="I6">
        <v>3.3</v>
      </c>
      <c r="J6" s="10">
        <v>46121</v>
      </c>
      <c r="K6" s="27">
        <v>46121.611550925925</v>
      </c>
    </row>
    <row r="7" spans="1:11" x14ac:dyDescent="0.25">
      <c r="A7">
        <v>6</v>
      </c>
      <c r="B7" t="s">
        <v>857</v>
      </c>
      <c r="C7" t="s">
        <v>16</v>
      </c>
      <c r="D7" t="s">
        <v>33</v>
      </c>
      <c r="E7">
        <v>390</v>
      </c>
      <c r="F7">
        <v>3.5</v>
      </c>
      <c r="G7">
        <v>20.97</v>
      </c>
      <c r="H7" t="s">
        <v>853</v>
      </c>
      <c r="I7">
        <v>4.9000000000000004</v>
      </c>
      <c r="J7" s="10">
        <v>46121</v>
      </c>
      <c r="K7" s="27">
        <v>46121.611620370371</v>
      </c>
    </row>
    <row r="8" spans="1:11" x14ac:dyDescent="0.25">
      <c r="A8">
        <v>7</v>
      </c>
      <c r="B8" t="s">
        <v>858</v>
      </c>
      <c r="C8" t="s">
        <v>133</v>
      </c>
      <c r="D8" t="s">
        <v>73</v>
      </c>
      <c r="E8">
        <v>399</v>
      </c>
      <c r="F8">
        <v>4.3</v>
      </c>
      <c r="G8">
        <v>10.24</v>
      </c>
      <c r="H8" t="s">
        <v>851</v>
      </c>
      <c r="I8">
        <v>3.3</v>
      </c>
      <c r="J8" s="10">
        <v>46121</v>
      </c>
      <c r="K8" s="27">
        <v>46121.611701388887</v>
      </c>
    </row>
    <row r="9" spans="1:11" x14ac:dyDescent="0.25">
      <c r="A9">
        <v>8</v>
      </c>
      <c r="B9" t="s">
        <v>859</v>
      </c>
      <c r="C9" t="s">
        <v>42</v>
      </c>
      <c r="D9" t="s">
        <v>20</v>
      </c>
      <c r="E9">
        <v>263</v>
      </c>
      <c r="F9">
        <v>2.4</v>
      </c>
      <c r="G9">
        <v>7.26</v>
      </c>
      <c r="H9" t="s">
        <v>851</v>
      </c>
      <c r="I9">
        <v>4.8</v>
      </c>
      <c r="J9" s="10">
        <v>46121</v>
      </c>
      <c r="K9" s="27">
        <v>46121.611759259256</v>
      </c>
    </row>
    <row r="10" spans="1:11" x14ac:dyDescent="0.25">
      <c r="A10">
        <v>9</v>
      </c>
      <c r="B10" t="s">
        <v>860</v>
      </c>
      <c r="C10" t="s">
        <v>36</v>
      </c>
      <c r="D10" t="s">
        <v>29</v>
      </c>
      <c r="E10">
        <v>459</v>
      </c>
      <c r="F10">
        <v>6.5</v>
      </c>
      <c r="G10">
        <v>11.69</v>
      </c>
      <c r="H10" t="s">
        <v>851</v>
      </c>
      <c r="I10">
        <v>4.9000000000000004</v>
      </c>
      <c r="J10" s="10">
        <v>46121</v>
      </c>
      <c r="K10" s="27">
        <v>46121.611898148149</v>
      </c>
    </row>
    <row r="11" spans="1:11" x14ac:dyDescent="0.25">
      <c r="A11">
        <v>10</v>
      </c>
      <c r="B11" t="s">
        <v>861</v>
      </c>
      <c r="C11" t="s">
        <v>46</v>
      </c>
      <c r="D11" t="s">
        <v>15</v>
      </c>
      <c r="E11">
        <v>228</v>
      </c>
      <c r="F11">
        <v>4.5</v>
      </c>
      <c r="G11">
        <v>19.7</v>
      </c>
      <c r="H11" t="s">
        <v>851</v>
      </c>
      <c r="I11">
        <v>4.0999999999999996</v>
      </c>
      <c r="J11" s="10">
        <v>46121</v>
      </c>
      <c r="K11" s="27">
        <v>46121.612164351849</v>
      </c>
    </row>
    <row r="12" spans="1:11" x14ac:dyDescent="0.25">
      <c r="A12">
        <v>11</v>
      </c>
      <c r="B12" t="s">
        <v>862</v>
      </c>
      <c r="C12" t="s">
        <v>76</v>
      </c>
      <c r="D12" t="s">
        <v>11</v>
      </c>
      <c r="E12">
        <v>335</v>
      </c>
      <c r="F12">
        <v>2.2999999999999998</v>
      </c>
      <c r="G12">
        <v>18.23</v>
      </c>
      <c r="H12" t="s">
        <v>853</v>
      </c>
      <c r="I12">
        <v>3.4</v>
      </c>
      <c r="J12" s="10">
        <v>46121</v>
      </c>
      <c r="K12" s="27">
        <v>46121.612326388888</v>
      </c>
    </row>
    <row r="13" spans="1:11" x14ac:dyDescent="0.25">
      <c r="A13">
        <v>12</v>
      </c>
      <c r="B13" t="s">
        <v>863</v>
      </c>
      <c r="C13" t="s">
        <v>65</v>
      </c>
      <c r="D13" t="s">
        <v>33</v>
      </c>
      <c r="E13">
        <v>348</v>
      </c>
      <c r="F13">
        <v>5.2</v>
      </c>
      <c r="G13">
        <v>16.079999999999998</v>
      </c>
      <c r="H13" t="s">
        <v>851</v>
      </c>
      <c r="I13">
        <v>4.2</v>
      </c>
      <c r="J13" s="10">
        <v>46121</v>
      </c>
      <c r="K13" s="27">
        <v>46121.612453703703</v>
      </c>
    </row>
    <row r="14" spans="1:11" x14ac:dyDescent="0.25">
      <c r="A14">
        <v>13</v>
      </c>
      <c r="B14" t="s">
        <v>864</v>
      </c>
      <c r="C14" t="s">
        <v>68</v>
      </c>
      <c r="D14" t="s">
        <v>33</v>
      </c>
      <c r="E14">
        <v>156</v>
      </c>
      <c r="F14">
        <v>5.9</v>
      </c>
      <c r="G14">
        <v>5.45</v>
      </c>
      <c r="H14" t="s">
        <v>851</v>
      </c>
      <c r="I14">
        <v>3.3</v>
      </c>
      <c r="J14" s="10">
        <v>46121</v>
      </c>
      <c r="K14" s="27">
        <v>46121.612557870372</v>
      </c>
    </row>
    <row r="15" spans="1:11" x14ac:dyDescent="0.25">
      <c r="A15">
        <v>14</v>
      </c>
      <c r="B15" t="s">
        <v>865</v>
      </c>
      <c r="C15" t="s">
        <v>12</v>
      </c>
      <c r="D15" t="s">
        <v>45</v>
      </c>
      <c r="E15">
        <v>468</v>
      </c>
      <c r="F15">
        <v>5.7</v>
      </c>
      <c r="G15">
        <v>11.49</v>
      </c>
      <c r="H15" t="s">
        <v>851</v>
      </c>
      <c r="I15">
        <v>3.3</v>
      </c>
      <c r="J15" s="10">
        <v>46121</v>
      </c>
      <c r="K15" s="27">
        <v>46121.612847222219</v>
      </c>
    </row>
    <row r="16" spans="1:11" x14ac:dyDescent="0.25">
      <c r="A16">
        <v>15</v>
      </c>
      <c r="B16" t="s">
        <v>866</v>
      </c>
      <c r="C16" t="s">
        <v>51</v>
      </c>
      <c r="D16" t="s">
        <v>11</v>
      </c>
      <c r="E16">
        <v>179</v>
      </c>
      <c r="F16">
        <v>1.8</v>
      </c>
      <c r="G16">
        <v>22.96</v>
      </c>
      <c r="H16" t="s">
        <v>851</v>
      </c>
      <c r="I16">
        <v>4.0999999999999996</v>
      </c>
      <c r="J16" s="10">
        <v>46121</v>
      </c>
      <c r="K16" s="27">
        <v>46121.612974537034</v>
      </c>
    </row>
    <row r="17" spans="1:15" x14ac:dyDescent="0.25">
      <c r="A17">
        <v>16</v>
      </c>
      <c r="B17" t="s">
        <v>867</v>
      </c>
      <c r="C17" t="s">
        <v>80</v>
      </c>
      <c r="D17" t="s">
        <v>11</v>
      </c>
      <c r="E17">
        <v>249</v>
      </c>
      <c r="F17">
        <v>6.4</v>
      </c>
      <c r="G17">
        <v>24.5</v>
      </c>
      <c r="H17" t="s">
        <v>851</v>
      </c>
      <c r="I17">
        <v>4.9000000000000004</v>
      </c>
      <c r="J17" s="10">
        <v>46121</v>
      </c>
      <c r="K17" s="27">
        <v>46121.61314814815</v>
      </c>
    </row>
    <row r="18" spans="1:15" x14ac:dyDescent="0.25">
      <c r="A18">
        <v>17</v>
      </c>
      <c r="B18" t="s">
        <v>868</v>
      </c>
      <c r="C18" t="s">
        <v>869</v>
      </c>
      <c r="D18" t="s">
        <v>11</v>
      </c>
      <c r="E18">
        <v>260</v>
      </c>
      <c r="F18">
        <v>4.7</v>
      </c>
      <c r="G18">
        <v>20.04</v>
      </c>
      <c r="H18" t="s">
        <v>851</v>
      </c>
      <c r="I18">
        <v>3.5</v>
      </c>
      <c r="J18" s="10">
        <v>46121</v>
      </c>
      <c r="K18" s="27">
        <v>46121.61341435185</v>
      </c>
    </row>
    <row r="19" spans="1:15" x14ac:dyDescent="0.25">
      <c r="A19">
        <v>18</v>
      </c>
      <c r="B19" t="s">
        <v>870</v>
      </c>
      <c r="C19" t="s">
        <v>68</v>
      </c>
      <c r="D19" t="s">
        <v>33</v>
      </c>
      <c r="E19">
        <v>217</v>
      </c>
      <c r="F19">
        <v>4.0999999999999996</v>
      </c>
      <c r="G19">
        <v>13.05</v>
      </c>
      <c r="H19" t="s">
        <v>851</v>
      </c>
      <c r="I19">
        <v>3.1</v>
      </c>
      <c r="J19" s="10">
        <v>46121</v>
      </c>
      <c r="K19" s="27">
        <v>46121.61347222222</v>
      </c>
    </row>
    <row r="20" spans="1:15" x14ac:dyDescent="0.25">
      <c r="A20">
        <v>19</v>
      </c>
      <c r="B20" t="s">
        <v>871</v>
      </c>
      <c r="C20" t="s">
        <v>133</v>
      </c>
      <c r="D20" t="s">
        <v>73</v>
      </c>
      <c r="E20">
        <v>125</v>
      </c>
      <c r="F20">
        <v>3.9</v>
      </c>
      <c r="G20">
        <v>17.75</v>
      </c>
      <c r="H20" t="s">
        <v>853</v>
      </c>
      <c r="I20">
        <v>3.2</v>
      </c>
      <c r="J20" s="10">
        <v>46121</v>
      </c>
      <c r="K20" s="27">
        <v>46121.613634259258</v>
      </c>
    </row>
    <row r="21" spans="1:15" x14ac:dyDescent="0.25">
      <c r="A21">
        <v>20</v>
      </c>
      <c r="B21" t="s">
        <v>872</v>
      </c>
      <c r="C21" t="s">
        <v>68</v>
      </c>
      <c r="D21" t="s">
        <v>33</v>
      </c>
      <c r="E21">
        <v>480</v>
      </c>
      <c r="F21">
        <v>5.5</v>
      </c>
      <c r="G21">
        <v>14.01</v>
      </c>
      <c r="H21" t="s">
        <v>851</v>
      </c>
      <c r="I21">
        <v>3.8</v>
      </c>
      <c r="J21" s="10">
        <v>46121</v>
      </c>
      <c r="K21" s="27">
        <v>46121.613819444443</v>
      </c>
    </row>
    <row r="22" spans="1:15" x14ac:dyDescent="0.25">
      <c r="A22">
        <v>21</v>
      </c>
      <c r="B22" t="s">
        <v>850</v>
      </c>
      <c r="C22" t="s">
        <v>57</v>
      </c>
      <c r="D22" t="s">
        <v>11</v>
      </c>
      <c r="E22">
        <v>160</v>
      </c>
      <c r="F22">
        <v>4.7</v>
      </c>
      <c r="G22">
        <v>17.809999999999999</v>
      </c>
      <c r="H22" t="s">
        <v>851</v>
      </c>
      <c r="I22">
        <v>3</v>
      </c>
      <c r="J22" s="10">
        <v>46121</v>
      </c>
      <c r="K22" s="27">
        <v>46121.673518518517</v>
      </c>
    </row>
    <row r="23" spans="1:15" x14ac:dyDescent="0.25">
      <c r="A23">
        <v>22</v>
      </c>
      <c r="B23" t="s">
        <v>852</v>
      </c>
      <c r="C23" t="s">
        <v>130</v>
      </c>
      <c r="D23" t="s">
        <v>15</v>
      </c>
      <c r="E23">
        <v>121</v>
      </c>
      <c r="F23">
        <v>5.6</v>
      </c>
      <c r="G23">
        <v>21.66</v>
      </c>
      <c r="H23" t="s">
        <v>851</v>
      </c>
      <c r="I23">
        <v>4.5</v>
      </c>
      <c r="J23" s="10">
        <v>46121</v>
      </c>
      <c r="K23" s="27">
        <v>46121.673668981479</v>
      </c>
    </row>
    <row r="24" spans="1:15" x14ac:dyDescent="0.25">
      <c r="A24">
        <v>23</v>
      </c>
      <c r="B24" t="s">
        <v>854</v>
      </c>
      <c r="C24" t="s">
        <v>130</v>
      </c>
      <c r="D24" t="s">
        <v>15</v>
      </c>
      <c r="E24">
        <v>367</v>
      </c>
      <c r="F24">
        <v>5.4</v>
      </c>
      <c r="G24">
        <v>13.58</v>
      </c>
      <c r="H24" t="s">
        <v>851</v>
      </c>
      <c r="I24">
        <v>3.3</v>
      </c>
      <c r="J24" s="10">
        <v>46121</v>
      </c>
      <c r="K24" s="27">
        <v>46121.673819444448</v>
      </c>
    </row>
    <row r="25" spans="1:15" x14ac:dyDescent="0.25">
      <c r="A25">
        <v>24</v>
      </c>
      <c r="B25" t="s">
        <v>855</v>
      </c>
      <c r="C25" t="s">
        <v>472</v>
      </c>
      <c r="D25" t="s">
        <v>45</v>
      </c>
      <c r="E25">
        <v>228</v>
      </c>
      <c r="F25">
        <v>5.5</v>
      </c>
      <c r="G25">
        <v>19.59</v>
      </c>
      <c r="H25" t="s">
        <v>851</v>
      </c>
      <c r="I25">
        <v>3.4</v>
      </c>
      <c r="J25" s="10">
        <v>46121</v>
      </c>
      <c r="K25" s="27">
        <v>46121.674027777779</v>
      </c>
      <c r="O25" s="29"/>
    </row>
    <row r="26" spans="1:15" x14ac:dyDescent="0.25">
      <c r="A26">
        <v>25</v>
      </c>
      <c r="B26" t="s">
        <v>856</v>
      </c>
      <c r="C26" t="s">
        <v>30</v>
      </c>
      <c r="D26" t="s">
        <v>11</v>
      </c>
      <c r="E26">
        <v>179</v>
      </c>
      <c r="F26">
        <v>4.0999999999999996</v>
      </c>
      <c r="G26">
        <v>13.53</v>
      </c>
      <c r="H26" t="s">
        <v>851</v>
      </c>
      <c r="I26">
        <v>4.2</v>
      </c>
      <c r="J26" s="10">
        <v>46121</v>
      </c>
      <c r="K26" s="27">
        <v>46121.674085648148</v>
      </c>
    </row>
    <row r="27" spans="1:15" x14ac:dyDescent="0.25">
      <c r="A27">
        <v>26</v>
      </c>
      <c r="B27" t="s">
        <v>857</v>
      </c>
      <c r="C27" t="s">
        <v>16</v>
      </c>
      <c r="D27" t="s">
        <v>33</v>
      </c>
      <c r="E27">
        <v>189</v>
      </c>
      <c r="F27">
        <v>3</v>
      </c>
      <c r="G27">
        <v>20.420000000000002</v>
      </c>
      <c r="H27" t="s">
        <v>851</v>
      </c>
      <c r="I27">
        <v>4.9000000000000004</v>
      </c>
      <c r="J27" s="10">
        <v>46121</v>
      </c>
      <c r="K27" s="27">
        <v>46121.67423611111</v>
      </c>
    </row>
    <row r="28" spans="1:15" x14ac:dyDescent="0.25">
      <c r="A28">
        <v>27</v>
      </c>
      <c r="B28" t="s">
        <v>858</v>
      </c>
      <c r="C28" t="s">
        <v>133</v>
      </c>
      <c r="D28" t="s">
        <v>73</v>
      </c>
      <c r="E28">
        <v>306</v>
      </c>
      <c r="F28">
        <v>4.0999999999999996</v>
      </c>
      <c r="G28">
        <v>12.49</v>
      </c>
      <c r="H28" t="s">
        <v>851</v>
      </c>
      <c r="I28">
        <v>3.9</v>
      </c>
      <c r="J28" s="10">
        <v>46121</v>
      </c>
      <c r="K28" s="27">
        <v>46121.674479166664</v>
      </c>
    </row>
    <row r="29" spans="1:15" x14ac:dyDescent="0.25">
      <c r="A29">
        <v>28</v>
      </c>
      <c r="B29" t="s">
        <v>859</v>
      </c>
      <c r="C29" t="s">
        <v>42</v>
      </c>
      <c r="D29" t="s">
        <v>20</v>
      </c>
      <c r="E29">
        <v>232</v>
      </c>
      <c r="F29">
        <v>1.8</v>
      </c>
      <c r="G29">
        <v>12.93</v>
      </c>
      <c r="H29" t="s">
        <v>851</v>
      </c>
      <c r="I29">
        <v>3.4</v>
      </c>
      <c r="J29" s="10">
        <v>46121</v>
      </c>
      <c r="K29" s="27">
        <v>46121.674722222226</v>
      </c>
    </row>
    <row r="30" spans="1:15" x14ac:dyDescent="0.25">
      <c r="A30">
        <v>29</v>
      </c>
      <c r="B30" t="s">
        <v>860</v>
      </c>
      <c r="C30" t="s">
        <v>36</v>
      </c>
      <c r="D30" t="s">
        <v>29</v>
      </c>
      <c r="E30">
        <v>162</v>
      </c>
      <c r="F30">
        <v>4.3</v>
      </c>
      <c r="G30">
        <v>11.92</v>
      </c>
      <c r="H30" t="s">
        <v>851</v>
      </c>
      <c r="I30">
        <v>3.7</v>
      </c>
      <c r="J30" s="10">
        <v>46121</v>
      </c>
      <c r="K30" s="27">
        <v>46121.674872685187</v>
      </c>
    </row>
    <row r="31" spans="1:15" x14ac:dyDescent="0.25">
      <c r="A31">
        <v>30</v>
      </c>
      <c r="B31" t="s">
        <v>861</v>
      </c>
      <c r="C31" t="s">
        <v>46</v>
      </c>
      <c r="D31" t="s">
        <v>15</v>
      </c>
      <c r="E31">
        <v>293</v>
      </c>
      <c r="F31">
        <v>3.5</v>
      </c>
      <c r="G31">
        <v>18.850000000000001</v>
      </c>
      <c r="H31" t="s">
        <v>851</v>
      </c>
      <c r="I31">
        <v>4.0999999999999996</v>
      </c>
      <c r="J31" s="10">
        <v>46121</v>
      </c>
      <c r="K31" s="27">
        <v>46121.674953703703</v>
      </c>
    </row>
    <row r="32" spans="1:15" x14ac:dyDescent="0.25">
      <c r="A32">
        <v>31</v>
      </c>
      <c r="B32" t="s">
        <v>862</v>
      </c>
      <c r="C32" t="s">
        <v>76</v>
      </c>
      <c r="D32" t="s">
        <v>11</v>
      </c>
      <c r="E32">
        <v>247</v>
      </c>
      <c r="F32">
        <v>2.2000000000000002</v>
      </c>
      <c r="G32">
        <v>14.3</v>
      </c>
      <c r="H32" t="s">
        <v>851</v>
      </c>
      <c r="I32">
        <v>4.3</v>
      </c>
      <c r="J32" s="10">
        <v>46121</v>
      </c>
      <c r="K32" s="27">
        <v>46121.675057870372</v>
      </c>
    </row>
    <row r="33" spans="1:11" x14ac:dyDescent="0.25">
      <c r="A33">
        <v>32</v>
      </c>
      <c r="B33" t="s">
        <v>863</v>
      </c>
      <c r="C33" t="s">
        <v>65</v>
      </c>
      <c r="D33" t="s">
        <v>33</v>
      </c>
      <c r="E33">
        <v>394</v>
      </c>
      <c r="F33">
        <v>6</v>
      </c>
      <c r="G33">
        <v>14.62</v>
      </c>
      <c r="H33" t="s">
        <v>851</v>
      </c>
      <c r="I33">
        <v>4</v>
      </c>
      <c r="J33" s="10">
        <v>46121</v>
      </c>
      <c r="K33" s="27">
        <v>46121.675219907411</v>
      </c>
    </row>
    <row r="34" spans="1:11" x14ac:dyDescent="0.25">
      <c r="A34">
        <v>33</v>
      </c>
      <c r="B34" t="s">
        <v>864</v>
      </c>
      <c r="C34" t="s">
        <v>68</v>
      </c>
      <c r="D34" t="s">
        <v>33</v>
      </c>
      <c r="E34">
        <v>221</v>
      </c>
      <c r="F34">
        <v>5.7</v>
      </c>
      <c r="G34">
        <v>19.010000000000002</v>
      </c>
      <c r="H34" t="s">
        <v>851</v>
      </c>
      <c r="I34">
        <v>3.3</v>
      </c>
      <c r="J34" s="10">
        <v>46121</v>
      </c>
      <c r="K34" s="27">
        <v>46121.675486111111</v>
      </c>
    </row>
    <row r="35" spans="1:11" x14ac:dyDescent="0.25">
      <c r="A35">
        <v>34</v>
      </c>
      <c r="B35" t="s">
        <v>865</v>
      </c>
      <c r="C35" t="s">
        <v>12</v>
      </c>
      <c r="D35" t="s">
        <v>45</v>
      </c>
      <c r="E35">
        <v>467</v>
      </c>
      <c r="F35">
        <v>4.9000000000000004</v>
      </c>
      <c r="G35">
        <v>17.989999999999998</v>
      </c>
      <c r="H35" t="s">
        <v>851</v>
      </c>
      <c r="I35">
        <v>4.5</v>
      </c>
      <c r="J35" s="10">
        <v>46121</v>
      </c>
      <c r="K35" s="27">
        <v>46121.67559027778</v>
      </c>
    </row>
    <row r="36" spans="1:11" x14ac:dyDescent="0.25">
      <c r="A36">
        <v>35</v>
      </c>
      <c r="B36" t="s">
        <v>866</v>
      </c>
      <c r="C36" t="s">
        <v>51</v>
      </c>
      <c r="D36" t="s">
        <v>11</v>
      </c>
      <c r="E36">
        <v>320</v>
      </c>
      <c r="F36">
        <v>1.6</v>
      </c>
      <c r="G36">
        <v>21.7</v>
      </c>
      <c r="H36" t="s">
        <v>851</v>
      </c>
      <c r="I36">
        <v>3.5</v>
      </c>
      <c r="J36" s="10">
        <v>46121</v>
      </c>
      <c r="K36" s="27">
        <v>46121.675787037035</v>
      </c>
    </row>
    <row r="37" spans="1:11" x14ac:dyDescent="0.25">
      <c r="A37">
        <v>36</v>
      </c>
      <c r="B37" t="s">
        <v>867</v>
      </c>
      <c r="C37" t="s">
        <v>80</v>
      </c>
      <c r="D37" t="s">
        <v>11</v>
      </c>
      <c r="E37">
        <v>495</v>
      </c>
      <c r="F37">
        <v>2.6</v>
      </c>
      <c r="G37">
        <v>22</v>
      </c>
      <c r="H37" t="s">
        <v>851</v>
      </c>
      <c r="I37">
        <v>3.4</v>
      </c>
      <c r="J37" s="10">
        <v>46121</v>
      </c>
      <c r="K37" s="27">
        <v>46121.676018518519</v>
      </c>
    </row>
    <row r="38" spans="1:11" x14ac:dyDescent="0.25">
      <c r="A38">
        <v>37</v>
      </c>
      <c r="B38" t="s">
        <v>868</v>
      </c>
      <c r="C38" t="s">
        <v>869</v>
      </c>
      <c r="D38" t="s">
        <v>11</v>
      </c>
      <c r="E38">
        <v>371</v>
      </c>
      <c r="F38">
        <v>3.5</v>
      </c>
      <c r="G38">
        <v>16.920000000000002</v>
      </c>
      <c r="H38" t="s">
        <v>851</v>
      </c>
      <c r="I38">
        <v>4.3</v>
      </c>
      <c r="J38" s="10">
        <v>46121</v>
      </c>
      <c r="K38" s="27">
        <v>46121.676111111112</v>
      </c>
    </row>
    <row r="39" spans="1:11" x14ac:dyDescent="0.25">
      <c r="A39">
        <v>38</v>
      </c>
      <c r="B39" t="s">
        <v>870</v>
      </c>
      <c r="C39" t="s">
        <v>68</v>
      </c>
      <c r="D39" t="s">
        <v>33</v>
      </c>
      <c r="E39">
        <v>124</v>
      </c>
      <c r="F39">
        <v>6.8</v>
      </c>
      <c r="G39">
        <v>23.69</v>
      </c>
      <c r="H39" t="s">
        <v>851</v>
      </c>
      <c r="I39">
        <v>3.4</v>
      </c>
      <c r="J39" s="10">
        <v>46121</v>
      </c>
      <c r="K39" s="27">
        <v>46121.676400462966</v>
      </c>
    </row>
    <row r="40" spans="1:11" x14ac:dyDescent="0.25">
      <c r="A40">
        <v>39</v>
      </c>
      <c r="B40" t="s">
        <v>871</v>
      </c>
      <c r="C40" t="s">
        <v>133</v>
      </c>
      <c r="D40" t="s">
        <v>73</v>
      </c>
      <c r="E40">
        <v>380</v>
      </c>
      <c r="F40">
        <v>5</v>
      </c>
      <c r="G40">
        <v>9.35</v>
      </c>
      <c r="H40" t="s">
        <v>851</v>
      </c>
      <c r="I40">
        <v>3.1</v>
      </c>
      <c r="J40" s="10">
        <v>46121</v>
      </c>
      <c r="K40" s="27">
        <v>46121.676574074074</v>
      </c>
    </row>
    <row r="41" spans="1:11" x14ac:dyDescent="0.25">
      <c r="A41">
        <v>40</v>
      </c>
      <c r="B41" t="s">
        <v>872</v>
      </c>
      <c r="C41" t="s">
        <v>68</v>
      </c>
      <c r="D41" t="s">
        <v>33</v>
      </c>
      <c r="E41">
        <v>165</v>
      </c>
      <c r="F41">
        <v>5.9</v>
      </c>
      <c r="G41">
        <v>24.56</v>
      </c>
      <c r="H41" t="s">
        <v>851</v>
      </c>
      <c r="I41">
        <v>3.8</v>
      </c>
      <c r="J41" s="10">
        <v>46121</v>
      </c>
      <c r="K41" s="27">
        <v>46121.676689814813</v>
      </c>
    </row>
    <row r="42" spans="1:11" x14ac:dyDescent="0.25">
      <c r="A42">
        <v>41</v>
      </c>
      <c r="B42" t="s">
        <v>850</v>
      </c>
      <c r="C42" t="s">
        <v>57</v>
      </c>
      <c r="D42" t="s">
        <v>11</v>
      </c>
      <c r="E42">
        <v>428</v>
      </c>
      <c r="F42">
        <v>6.7</v>
      </c>
      <c r="G42">
        <v>21.91</v>
      </c>
      <c r="H42" t="s">
        <v>853</v>
      </c>
      <c r="I42">
        <v>4.7</v>
      </c>
      <c r="J42" s="10">
        <v>46121</v>
      </c>
      <c r="K42" s="27">
        <v>46121.682002314818</v>
      </c>
    </row>
    <row r="43" spans="1:11" x14ac:dyDescent="0.25">
      <c r="A43">
        <v>42</v>
      </c>
      <c r="B43" t="s">
        <v>852</v>
      </c>
      <c r="C43" t="s">
        <v>130</v>
      </c>
      <c r="D43" t="s">
        <v>15</v>
      </c>
      <c r="E43">
        <v>157</v>
      </c>
      <c r="F43">
        <v>1.6</v>
      </c>
      <c r="G43">
        <v>16.57</v>
      </c>
      <c r="H43" t="s">
        <v>851</v>
      </c>
      <c r="I43">
        <v>3.1</v>
      </c>
      <c r="J43" s="10">
        <v>46121</v>
      </c>
      <c r="K43" s="27">
        <v>46121.682083333333</v>
      </c>
    </row>
    <row r="44" spans="1:11" x14ac:dyDescent="0.25">
      <c r="A44">
        <v>43</v>
      </c>
      <c r="B44" t="s">
        <v>854</v>
      </c>
      <c r="C44" t="s">
        <v>130</v>
      </c>
      <c r="D44" t="s">
        <v>15</v>
      </c>
      <c r="E44">
        <v>279</v>
      </c>
      <c r="F44">
        <v>6.2</v>
      </c>
      <c r="G44">
        <v>24.35</v>
      </c>
      <c r="H44" t="s">
        <v>851</v>
      </c>
      <c r="I44">
        <v>3</v>
      </c>
      <c r="J44" s="10">
        <v>46121</v>
      </c>
      <c r="K44" s="27">
        <v>46121.682210648149</v>
      </c>
    </row>
    <row r="45" spans="1:11" x14ac:dyDescent="0.25">
      <c r="A45">
        <v>44</v>
      </c>
      <c r="B45" t="s">
        <v>855</v>
      </c>
      <c r="C45" t="s">
        <v>472</v>
      </c>
      <c r="D45" t="s">
        <v>45</v>
      </c>
      <c r="E45">
        <v>325</v>
      </c>
      <c r="F45">
        <v>1.9</v>
      </c>
      <c r="G45">
        <v>15.61</v>
      </c>
      <c r="H45" t="s">
        <v>851</v>
      </c>
      <c r="I45">
        <v>3.3</v>
      </c>
      <c r="J45" s="10">
        <v>46121</v>
      </c>
      <c r="K45" s="27">
        <v>46121.682476851849</v>
      </c>
    </row>
    <row r="46" spans="1:11" x14ac:dyDescent="0.25">
      <c r="A46">
        <v>45</v>
      </c>
      <c r="B46" t="s">
        <v>856</v>
      </c>
      <c r="C46" t="s">
        <v>30</v>
      </c>
      <c r="D46" t="s">
        <v>11</v>
      </c>
      <c r="E46">
        <v>467</v>
      </c>
      <c r="F46">
        <v>6.5</v>
      </c>
      <c r="G46">
        <v>17.809999999999999</v>
      </c>
      <c r="H46" t="s">
        <v>851</v>
      </c>
      <c r="I46">
        <v>3</v>
      </c>
      <c r="J46" s="10">
        <v>46121</v>
      </c>
      <c r="K46" s="27">
        <v>46121.682638888888</v>
      </c>
    </row>
    <row r="47" spans="1:11" x14ac:dyDescent="0.25">
      <c r="A47">
        <v>46</v>
      </c>
      <c r="B47" t="s">
        <v>857</v>
      </c>
      <c r="C47" t="s">
        <v>16</v>
      </c>
      <c r="D47" t="s">
        <v>33</v>
      </c>
      <c r="E47">
        <v>135</v>
      </c>
      <c r="F47">
        <v>3.6</v>
      </c>
      <c r="G47">
        <v>12.24</v>
      </c>
      <c r="H47" t="s">
        <v>851</v>
      </c>
      <c r="I47">
        <v>4.4000000000000004</v>
      </c>
      <c r="J47" s="10">
        <v>46121</v>
      </c>
      <c r="K47" s="27">
        <v>46121.682835648149</v>
      </c>
    </row>
    <row r="48" spans="1:11" x14ac:dyDescent="0.25">
      <c r="A48">
        <v>47</v>
      </c>
      <c r="B48" t="s">
        <v>858</v>
      </c>
      <c r="C48" t="s">
        <v>133</v>
      </c>
      <c r="D48" t="s">
        <v>73</v>
      </c>
      <c r="E48">
        <v>299</v>
      </c>
      <c r="F48">
        <v>2.1</v>
      </c>
      <c r="G48">
        <v>14.06</v>
      </c>
      <c r="H48" t="s">
        <v>851</v>
      </c>
      <c r="I48">
        <v>4.4000000000000004</v>
      </c>
      <c r="J48" s="10">
        <v>46121</v>
      </c>
      <c r="K48" s="27">
        <v>46121.683067129627</v>
      </c>
    </row>
    <row r="49" spans="1:11" x14ac:dyDescent="0.25">
      <c r="A49">
        <v>48</v>
      </c>
      <c r="B49" t="s">
        <v>859</v>
      </c>
      <c r="C49" t="s">
        <v>42</v>
      </c>
      <c r="D49" t="s">
        <v>20</v>
      </c>
      <c r="E49">
        <v>405</v>
      </c>
      <c r="F49">
        <v>1.6</v>
      </c>
      <c r="G49">
        <v>5.9</v>
      </c>
      <c r="H49" t="s">
        <v>851</v>
      </c>
      <c r="I49">
        <v>3.9</v>
      </c>
      <c r="J49" s="10">
        <v>46121</v>
      </c>
      <c r="K49" s="27">
        <v>46121.683136574073</v>
      </c>
    </row>
    <row r="50" spans="1:11" x14ac:dyDescent="0.25">
      <c r="A50">
        <v>49</v>
      </c>
      <c r="B50" t="s">
        <v>860</v>
      </c>
      <c r="C50" t="s">
        <v>36</v>
      </c>
      <c r="D50" t="s">
        <v>29</v>
      </c>
      <c r="E50">
        <v>169</v>
      </c>
      <c r="F50">
        <v>4.5</v>
      </c>
      <c r="G50">
        <v>22.45</v>
      </c>
      <c r="H50" t="s">
        <v>851</v>
      </c>
      <c r="I50">
        <v>4.5999999999999996</v>
      </c>
      <c r="J50" s="10">
        <v>46121</v>
      </c>
      <c r="K50" s="27">
        <v>46121.683310185188</v>
      </c>
    </row>
    <row r="51" spans="1:11" x14ac:dyDescent="0.25">
      <c r="A51">
        <v>50</v>
      </c>
      <c r="B51" t="s">
        <v>861</v>
      </c>
      <c r="C51" t="s">
        <v>46</v>
      </c>
      <c r="D51" t="s">
        <v>15</v>
      </c>
      <c r="E51">
        <v>479</v>
      </c>
      <c r="F51">
        <v>4.5</v>
      </c>
      <c r="G51">
        <v>20.96</v>
      </c>
      <c r="H51" t="s">
        <v>851</v>
      </c>
      <c r="I51">
        <v>4.5</v>
      </c>
      <c r="J51" s="10">
        <v>46121</v>
      </c>
      <c r="K51" s="27">
        <v>46121.683506944442</v>
      </c>
    </row>
    <row r="52" spans="1:11" x14ac:dyDescent="0.25">
      <c r="A52">
        <v>51</v>
      </c>
      <c r="B52" t="s">
        <v>862</v>
      </c>
      <c r="C52" t="s">
        <v>76</v>
      </c>
      <c r="D52" t="s">
        <v>11</v>
      </c>
      <c r="E52">
        <v>216</v>
      </c>
      <c r="F52">
        <v>6.9</v>
      </c>
      <c r="G52">
        <v>9.1300000000000008</v>
      </c>
      <c r="H52" t="s">
        <v>851</v>
      </c>
      <c r="I52">
        <v>4</v>
      </c>
      <c r="J52" s="10">
        <v>46121</v>
      </c>
      <c r="K52" s="27">
        <v>46121.68377314815</v>
      </c>
    </row>
    <row r="53" spans="1:11" x14ac:dyDescent="0.25">
      <c r="A53">
        <v>52</v>
      </c>
      <c r="B53" t="s">
        <v>863</v>
      </c>
      <c r="C53" t="s">
        <v>65</v>
      </c>
      <c r="D53" t="s">
        <v>33</v>
      </c>
      <c r="E53">
        <v>311</v>
      </c>
      <c r="F53">
        <v>2.2999999999999998</v>
      </c>
      <c r="G53">
        <v>12.91</v>
      </c>
      <c r="H53" t="s">
        <v>851</v>
      </c>
      <c r="I53">
        <v>3.8</v>
      </c>
      <c r="J53" s="10">
        <v>46121</v>
      </c>
      <c r="K53" s="27">
        <v>46121.684027777781</v>
      </c>
    </row>
    <row r="54" spans="1:11" x14ac:dyDescent="0.25">
      <c r="A54">
        <v>53</v>
      </c>
      <c r="B54" t="s">
        <v>864</v>
      </c>
      <c r="C54" t="s">
        <v>68</v>
      </c>
      <c r="D54" t="s">
        <v>33</v>
      </c>
      <c r="E54">
        <v>264</v>
      </c>
      <c r="F54">
        <v>2.1</v>
      </c>
      <c r="G54">
        <v>20.37</v>
      </c>
      <c r="H54" t="s">
        <v>851</v>
      </c>
      <c r="I54">
        <v>4.7</v>
      </c>
      <c r="J54" s="10">
        <v>46121</v>
      </c>
      <c r="K54" s="27">
        <v>46121.68409722222</v>
      </c>
    </row>
    <row r="55" spans="1:11" x14ac:dyDescent="0.25">
      <c r="A55">
        <v>54</v>
      </c>
      <c r="B55" t="s">
        <v>865</v>
      </c>
      <c r="C55" t="s">
        <v>12</v>
      </c>
      <c r="D55" t="s">
        <v>45</v>
      </c>
      <c r="E55">
        <v>317</v>
      </c>
      <c r="F55">
        <v>3.9</v>
      </c>
      <c r="G55">
        <v>8.2100000000000009</v>
      </c>
      <c r="H55" t="s">
        <v>851</v>
      </c>
      <c r="I55">
        <v>3.7</v>
      </c>
      <c r="J55" s="10">
        <v>46121</v>
      </c>
      <c r="K55" s="27">
        <v>46121.684178240743</v>
      </c>
    </row>
    <row r="56" spans="1:11" x14ac:dyDescent="0.25">
      <c r="A56">
        <v>55</v>
      </c>
      <c r="B56" t="s">
        <v>866</v>
      </c>
      <c r="C56" t="s">
        <v>51</v>
      </c>
      <c r="D56" t="s">
        <v>11</v>
      </c>
      <c r="E56">
        <v>341</v>
      </c>
      <c r="F56">
        <v>5.3</v>
      </c>
      <c r="G56">
        <v>10.119999999999999</v>
      </c>
      <c r="H56" t="s">
        <v>851</v>
      </c>
      <c r="I56">
        <v>3.3</v>
      </c>
      <c r="J56" s="10">
        <v>46121</v>
      </c>
      <c r="K56" s="27">
        <v>46121.684293981481</v>
      </c>
    </row>
    <row r="57" spans="1:11" x14ac:dyDescent="0.25">
      <c r="A57">
        <v>56</v>
      </c>
      <c r="B57" t="s">
        <v>867</v>
      </c>
      <c r="C57" t="s">
        <v>80</v>
      </c>
      <c r="D57" t="s">
        <v>11</v>
      </c>
      <c r="E57">
        <v>122</v>
      </c>
      <c r="F57">
        <v>1.7</v>
      </c>
      <c r="G57">
        <v>17.579999999999998</v>
      </c>
      <c r="H57" t="s">
        <v>851</v>
      </c>
      <c r="I57">
        <v>4.3</v>
      </c>
      <c r="J57" s="10">
        <v>46121</v>
      </c>
      <c r="K57" s="27">
        <v>46121.684444444443</v>
      </c>
    </row>
    <row r="58" spans="1:11" x14ac:dyDescent="0.25">
      <c r="A58">
        <v>57</v>
      </c>
      <c r="B58" t="s">
        <v>868</v>
      </c>
      <c r="C58" t="s">
        <v>869</v>
      </c>
      <c r="D58" t="s">
        <v>11</v>
      </c>
      <c r="E58">
        <v>437</v>
      </c>
      <c r="F58">
        <v>5.3</v>
      </c>
      <c r="G58">
        <v>20.14</v>
      </c>
      <c r="H58" t="s">
        <v>851</v>
      </c>
      <c r="I58">
        <v>4.7</v>
      </c>
      <c r="J58" s="10">
        <v>46121</v>
      </c>
      <c r="K58" s="27">
        <v>46121.684618055559</v>
      </c>
    </row>
    <row r="59" spans="1:11" x14ac:dyDescent="0.25">
      <c r="A59">
        <v>58</v>
      </c>
      <c r="B59" t="s">
        <v>870</v>
      </c>
      <c r="C59" t="s">
        <v>68</v>
      </c>
      <c r="D59" t="s">
        <v>33</v>
      </c>
      <c r="E59">
        <v>143</v>
      </c>
      <c r="F59">
        <v>2.2000000000000002</v>
      </c>
      <c r="G59">
        <v>11.01</v>
      </c>
      <c r="H59" t="s">
        <v>853</v>
      </c>
      <c r="I59">
        <v>4.0999999999999996</v>
      </c>
      <c r="J59" s="10">
        <v>46121</v>
      </c>
      <c r="K59" s="27">
        <v>46121.684745370374</v>
      </c>
    </row>
    <row r="60" spans="1:11" x14ac:dyDescent="0.25">
      <c r="A60">
        <v>59</v>
      </c>
      <c r="B60" t="s">
        <v>871</v>
      </c>
      <c r="C60" t="s">
        <v>133</v>
      </c>
      <c r="D60" t="s">
        <v>73</v>
      </c>
      <c r="E60">
        <v>274</v>
      </c>
      <c r="F60">
        <v>4.2</v>
      </c>
      <c r="G60">
        <v>14.75</v>
      </c>
      <c r="H60" t="s">
        <v>851</v>
      </c>
      <c r="I60">
        <v>4.3</v>
      </c>
      <c r="J60" s="10">
        <v>46121</v>
      </c>
      <c r="K60" s="27">
        <v>46121.684861111113</v>
      </c>
    </row>
    <row r="61" spans="1:11" x14ac:dyDescent="0.25">
      <c r="A61">
        <v>60</v>
      </c>
      <c r="B61" t="s">
        <v>872</v>
      </c>
      <c r="C61" t="s">
        <v>68</v>
      </c>
      <c r="D61" t="s">
        <v>33</v>
      </c>
      <c r="E61">
        <v>252</v>
      </c>
      <c r="F61">
        <v>4.2</v>
      </c>
      <c r="G61">
        <v>21.85</v>
      </c>
      <c r="H61" t="s">
        <v>851</v>
      </c>
      <c r="I61">
        <v>4.3</v>
      </c>
      <c r="J61" s="10">
        <v>46121</v>
      </c>
      <c r="K61" s="27">
        <v>46121.685057870367</v>
      </c>
    </row>
    <row r="62" spans="1:11" x14ac:dyDescent="0.25">
      <c r="A62">
        <v>61</v>
      </c>
      <c r="B62" t="s">
        <v>850</v>
      </c>
      <c r="C62" t="s">
        <v>57</v>
      </c>
      <c r="D62" t="s">
        <v>11</v>
      </c>
      <c r="E62">
        <v>243</v>
      </c>
      <c r="F62">
        <v>6.2</v>
      </c>
      <c r="G62">
        <v>9.4700000000000006</v>
      </c>
      <c r="H62" t="s">
        <v>851</v>
      </c>
      <c r="I62">
        <v>4.0999999999999996</v>
      </c>
      <c r="J62" s="10">
        <v>46122</v>
      </c>
      <c r="K62" s="27">
        <v>46122.843032407407</v>
      </c>
    </row>
    <row r="63" spans="1:11" x14ac:dyDescent="0.25">
      <c r="A63">
        <v>62</v>
      </c>
      <c r="B63" t="s">
        <v>852</v>
      </c>
      <c r="C63" t="s">
        <v>130</v>
      </c>
      <c r="D63" t="s">
        <v>15</v>
      </c>
      <c r="E63">
        <v>113</v>
      </c>
      <c r="F63">
        <v>6.3</v>
      </c>
      <c r="G63">
        <v>17.38</v>
      </c>
      <c r="H63" t="s">
        <v>851</v>
      </c>
      <c r="I63">
        <v>4.5</v>
      </c>
      <c r="J63" s="10">
        <v>46122</v>
      </c>
      <c r="K63" s="27">
        <v>46122.843206018515</v>
      </c>
    </row>
    <row r="64" spans="1:11" x14ac:dyDescent="0.25">
      <c r="A64">
        <v>63</v>
      </c>
      <c r="B64" t="s">
        <v>854</v>
      </c>
      <c r="C64" t="s">
        <v>130</v>
      </c>
      <c r="D64" t="s">
        <v>15</v>
      </c>
      <c r="E64">
        <v>185</v>
      </c>
      <c r="F64">
        <v>4.5</v>
      </c>
      <c r="G64">
        <v>8.02</v>
      </c>
      <c r="H64" t="s">
        <v>851</v>
      </c>
      <c r="I64">
        <v>4.0999999999999996</v>
      </c>
      <c r="J64" s="10">
        <v>46122</v>
      </c>
      <c r="K64" s="27">
        <v>46122.8434375</v>
      </c>
    </row>
    <row r="65" spans="1:11" x14ac:dyDescent="0.25">
      <c r="A65">
        <v>64</v>
      </c>
      <c r="B65" t="s">
        <v>855</v>
      </c>
      <c r="C65" t="s">
        <v>472</v>
      </c>
      <c r="D65" t="s">
        <v>45</v>
      </c>
      <c r="E65">
        <v>346</v>
      </c>
      <c r="F65">
        <v>5.3</v>
      </c>
      <c r="G65">
        <v>20.39</v>
      </c>
      <c r="H65" t="s">
        <v>851</v>
      </c>
      <c r="I65">
        <v>3.1</v>
      </c>
      <c r="J65" s="10">
        <v>46122</v>
      </c>
      <c r="K65" s="27">
        <v>46122.843530092592</v>
      </c>
    </row>
    <row r="66" spans="1:11" x14ac:dyDescent="0.25">
      <c r="A66">
        <v>65</v>
      </c>
      <c r="B66" t="s">
        <v>856</v>
      </c>
      <c r="C66" t="s">
        <v>30</v>
      </c>
      <c r="D66" t="s">
        <v>11</v>
      </c>
      <c r="E66">
        <v>166</v>
      </c>
      <c r="F66">
        <v>3.4</v>
      </c>
      <c r="G66">
        <v>14.3</v>
      </c>
      <c r="H66" t="s">
        <v>853</v>
      </c>
      <c r="I66">
        <v>3.7</v>
      </c>
      <c r="J66" s="10">
        <v>46122</v>
      </c>
      <c r="K66" s="27">
        <v>46122.843819444446</v>
      </c>
    </row>
    <row r="67" spans="1:11" x14ac:dyDescent="0.25">
      <c r="A67">
        <v>66</v>
      </c>
      <c r="B67" t="s">
        <v>857</v>
      </c>
      <c r="C67" t="s">
        <v>16</v>
      </c>
      <c r="D67" t="s">
        <v>33</v>
      </c>
      <c r="E67">
        <v>287</v>
      </c>
      <c r="F67">
        <v>3.5</v>
      </c>
      <c r="G67">
        <v>12.78</v>
      </c>
      <c r="H67" t="s">
        <v>851</v>
      </c>
      <c r="I67">
        <v>4.2</v>
      </c>
      <c r="J67" s="10">
        <v>46122</v>
      </c>
      <c r="K67" s="27">
        <v>46122.844004629631</v>
      </c>
    </row>
    <row r="68" spans="1:11" x14ac:dyDescent="0.25">
      <c r="A68">
        <v>67</v>
      </c>
      <c r="B68" t="s">
        <v>858</v>
      </c>
      <c r="C68" t="s">
        <v>133</v>
      </c>
      <c r="D68" t="s">
        <v>73</v>
      </c>
      <c r="E68">
        <v>188</v>
      </c>
      <c r="F68">
        <v>3.9</v>
      </c>
      <c r="G68">
        <v>23.85</v>
      </c>
      <c r="H68" t="s">
        <v>851</v>
      </c>
      <c r="I68">
        <v>4.3</v>
      </c>
      <c r="J68" s="10">
        <v>46122</v>
      </c>
      <c r="K68" s="27">
        <v>46122.844236111108</v>
      </c>
    </row>
    <row r="69" spans="1:11" x14ac:dyDescent="0.25">
      <c r="A69">
        <v>68</v>
      </c>
      <c r="B69" t="s">
        <v>859</v>
      </c>
      <c r="C69" t="s">
        <v>42</v>
      </c>
      <c r="D69" t="s">
        <v>20</v>
      </c>
      <c r="E69">
        <v>264</v>
      </c>
      <c r="F69">
        <v>1.9</v>
      </c>
      <c r="G69">
        <v>11.62</v>
      </c>
      <c r="H69" t="s">
        <v>851</v>
      </c>
      <c r="I69">
        <v>4.5</v>
      </c>
      <c r="J69" s="10">
        <v>46122</v>
      </c>
      <c r="K69" s="27">
        <v>46122.844525462962</v>
      </c>
    </row>
    <row r="70" spans="1:11" x14ac:dyDescent="0.25">
      <c r="A70">
        <v>69</v>
      </c>
      <c r="B70" t="s">
        <v>860</v>
      </c>
      <c r="C70" t="s">
        <v>36</v>
      </c>
      <c r="D70" t="s">
        <v>29</v>
      </c>
      <c r="E70">
        <v>492</v>
      </c>
      <c r="F70">
        <v>5.6</v>
      </c>
      <c r="G70">
        <v>16.77</v>
      </c>
      <c r="H70" t="s">
        <v>851</v>
      </c>
      <c r="I70">
        <v>3.7</v>
      </c>
      <c r="J70" s="10">
        <v>46122</v>
      </c>
      <c r="K70" s="27">
        <v>46122.844756944447</v>
      </c>
    </row>
    <row r="71" spans="1:11" x14ac:dyDescent="0.25">
      <c r="A71">
        <v>70</v>
      </c>
      <c r="B71" t="s">
        <v>861</v>
      </c>
      <c r="C71" t="s">
        <v>46</v>
      </c>
      <c r="D71" t="s">
        <v>15</v>
      </c>
      <c r="E71">
        <v>273</v>
      </c>
      <c r="F71">
        <v>3.4</v>
      </c>
      <c r="G71">
        <v>14.4</v>
      </c>
      <c r="H71" t="s">
        <v>851</v>
      </c>
      <c r="I71">
        <v>4.7</v>
      </c>
      <c r="J71" s="10">
        <v>46122</v>
      </c>
      <c r="K71" s="27">
        <v>46122.845034722224</v>
      </c>
    </row>
    <row r="72" spans="1:11" x14ac:dyDescent="0.25">
      <c r="A72">
        <v>71</v>
      </c>
      <c r="B72" t="s">
        <v>862</v>
      </c>
      <c r="C72" t="s">
        <v>76</v>
      </c>
      <c r="D72" t="s">
        <v>11</v>
      </c>
      <c r="E72">
        <v>215</v>
      </c>
      <c r="F72">
        <v>3.7</v>
      </c>
      <c r="G72">
        <v>10.68</v>
      </c>
      <c r="H72" t="s">
        <v>851</v>
      </c>
      <c r="I72">
        <v>3.3</v>
      </c>
      <c r="J72" s="10">
        <v>46122</v>
      </c>
      <c r="K72" s="27">
        <v>46122.84516203704</v>
      </c>
    </row>
    <row r="73" spans="1:11" x14ac:dyDescent="0.25">
      <c r="A73">
        <v>72</v>
      </c>
      <c r="B73" t="s">
        <v>863</v>
      </c>
      <c r="C73" t="s">
        <v>65</v>
      </c>
      <c r="D73" t="s">
        <v>33</v>
      </c>
      <c r="E73">
        <v>314</v>
      </c>
      <c r="F73">
        <v>4.5</v>
      </c>
      <c r="G73">
        <v>11.19</v>
      </c>
      <c r="H73" t="s">
        <v>851</v>
      </c>
      <c r="I73">
        <v>4</v>
      </c>
      <c r="J73" s="10">
        <v>46122</v>
      </c>
      <c r="K73" s="27">
        <v>46122.845243055555</v>
      </c>
    </row>
    <row r="74" spans="1:11" x14ac:dyDescent="0.25">
      <c r="A74">
        <v>73</v>
      </c>
      <c r="B74" t="s">
        <v>864</v>
      </c>
      <c r="C74" t="s">
        <v>68</v>
      </c>
      <c r="D74" t="s">
        <v>33</v>
      </c>
      <c r="E74">
        <v>413</v>
      </c>
      <c r="F74">
        <v>3.2</v>
      </c>
      <c r="G74">
        <v>7.23</v>
      </c>
      <c r="H74" t="s">
        <v>851</v>
      </c>
      <c r="I74">
        <v>4.2</v>
      </c>
      <c r="J74" s="10">
        <v>46122</v>
      </c>
      <c r="K74" s="27">
        <v>46122.845358796294</v>
      </c>
    </row>
    <row r="75" spans="1:11" x14ac:dyDescent="0.25">
      <c r="A75">
        <v>74</v>
      </c>
      <c r="B75" t="s">
        <v>865</v>
      </c>
      <c r="C75" t="s">
        <v>12</v>
      </c>
      <c r="D75" t="s">
        <v>45</v>
      </c>
      <c r="E75">
        <v>495</v>
      </c>
      <c r="F75">
        <v>3.4</v>
      </c>
      <c r="G75">
        <v>23.69</v>
      </c>
      <c r="H75" t="s">
        <v>851</v>
      </c>
      <c r="I75">
        <v>3.3</v>
      </c>
      <c r="J75" s="10">
        <v>46122</v>
      </c>
      <c r="K75" s="27">
        <v>46122.845416666663</v>
      </c>
    </row>
    <row r="76" spans="1:11" x14ac:dyDescent="0.25">
      <c r="A76">
        <v>75</v>
      </c>
      <c r="B76" t="s">
        <v>866</v>
      </c>
      <c r="C76" t="s">
        <v>51</v>
      </c>
      <c r="D76" t="s">
        <v>11</v>
      </c>
      <c r="E76">
        <v>428</v>
      </c>
      <c r="F76">
        <v>7</v>
      </c>
      <c r="G76">
        <v>21.73</v>
      </c>
      <c r="H76" t="s">
        <v>851</v>
      </c>
      <c r="I76">
        <v>4</v>
      </c>
      <c r="J76" s="10">
        <v>46122</v>
      </c>
      <c r="K76" s="27">
        <v>46122.845706018517</v>
      </c>
    </row>
    <row r="77" spans="1:11" x14ac:dyDescent="0.25">
      <c r="A77">
        <v>76</v>
      </c>
      <c r="B77" t="s">
        <v>867</v>
      </c>
      <c r="C77" t="s">
        <v>80</v>
      </c>
      <c r="D77" t="s">
        <v>11</v>
      </c>
      <c r="E77">
        <v>332</v>
      </c>
      <c r="F77">
        <v>2</v>
      </c>
      <c r="G77">
        <v>6.46</v>
      </c>
      <c r="H77" t="s">
        <v>851</v>
      </c>
      <c r="I77">
        <v>4.3</v>
      </c>
      <c r="J77" s="10">
        <v>46122</v>
      </c>
      <c r="K77" s="27">
        <v>46122.84584490741</v>
      </c>
    </row>
    <row r="78" spans="1:11" x14ac:dyDescent="0.25">
      <c r="A78">
        <v>77</v>
      </c>
      <c r="B78" t="s">
        <v>868</v>
      </c>
      <c r="C78" t="s">
        <v>869</v>
      </c>
      <c r="D78" t="s">
        <v>11</v>
      </c>
      <c r="E78">
        <v>420</v>
      </c>
      <c r="F78">
        <v>5.9</v>
      </c>
      <c r="G78">
        <v>20.420000000000002</v>
      </c>
      <c r="H78" t="s">
        <v>851</v>
      </c>
      <c r="I78">
        <v>4.9000000000000004</v>
      </c>
      <c r="J78" s="10">
        <v>46122</v>
      </c>
      <c r="K78" s="27">
        <v>46122.845960648148</v>
      </c>
    </row>
    <row r="79" spans="1:11" x14ac:dyDescent="0.25">
      <c r="A79">
        <v>78</v>
      </c>
      <c r="B79" t="s">
        <v>870</v>
      </c>
      <c r="C79" t="s">
        <v>68</v>
      </c>
      <c r="D79" t="s">
        <v>33</v>
      </c>
      <c r="E79">
        <v>422</v>
      </c>
      <c r="F79">
        <v>3.9</v>
      </c>
      <c r="G79">
        <v>18.75</v>
      </c>
      <c r="H79" t="s">
        <v>851</v>
      </c>
      <c r="I79">
        <v>4.0999999999999996</v>
      </c>
      <c r="J79" s="10">
        <v>46122</v>
      </c>
      <c r="K79" s="27">
        <v>46122.84615740741</v>
      </c>
    </row>
    <row r="80" spans="1:11" x14ac:dyDescent="0.25">
      <c r="A80">
        <v>79</v>
      </c>
      <c r="B80" t="s">
        <v>871</v>
      </c>
      <c r="C80" t="s">
        <v>133</v>
      </c>
      <c r="D80" t="s">
        <v>73</v>
      </c>
      <c r="E80">
        <v>242</v>
      </c>
      <c r="F80">
        <v>4.3</v>
      </c>
      <c r="G80">
        <v>16.48</v>
      </c>
      <c r="H80" t="s">
        <v>851</v>
      </c>
      <c r="I80">
        <v>4.2</v>
      </c>
      <c r="J80" s="10">
        <v>46122</v>
      </c>
      <c r="K80" s="27">
        <v>46122.846307870372</v>
      </c>
    </row>
    <row r="81" spans="1:11" x14ac:dyDescent="0.25">
      <c r="A81">
        <v>80</v>
      </c>
      <c r="B81" t="s">
        <v>872</v>
      </c>
      <c r="C81" t="s">
        <v>68</v>
      </c>
      <c r="D81" t="s">
        <v>33</v>
      </c>
      <c r="E81">
        <v>303</v>
      </c>
      <c r="F81">
        <v>4.4000000000000004</v>
      </c>
      <c r="G81">
        <v>20.9</v>
      </c>
      <c r="H81" t="s">
        <v>851</v>
      </c>
      <c r="I81">
        <v>4.0999999999999996</v>
      </c>
      <c r="J81" s="10">
        <v>46122</v>
      </c>
      <c r="K81" s="27">
        <v>46122.846516203703</v>
      </c>
    </row>
    <row r="82" spans="1:11" x14ac:dyDescent="0.25">
      <c r="A82">
        <v>81</v>
      </c>
      <c r="B82" t="s">
        <v>850</v>
      </c>
      <c r="C82" t="s">
        <v>57</v>
      </c>
      <c r="D82" t="s">
        <v>11</v>
      </c>
      <c r="E82">
        <v>384</v>
      </c>
      <c r="F82">
        <v>3</v>
      </c>
      <c r="G82">
        <v>18.23</v>
      </c>
      <c r="H82" t="s">
        <v>851</v>
      </c>
      <c r="I82">
        <v>3.6</v>
      </c>
      <c r="J82" s="10">
        <v>46124</v>
      </c>
      <c r="K82" s="27">
        <v>46124.466215277775</v>
      </c>
    </row>
    <row r="83" spans="1:11" x14ac:dyDescent="0.25">
      <c r="A83">
        <v>82</v>
      </c>
      <c r="B83" t="s">
        <v>852</v>
      </c>
      <c r="C83" t="s">
        <v>130</v>
      </c>
      <c r="D83" t="s">
        <v>15</v>
      </c>
      <c r="E83">
        <v>187</v>
      </c>
      <c r="F83">
        <v>2.9</v>
      </c>
      <c r="G83">
        <v>17.23</v>
      </c>
      <c r="H83" t="s">
        <v>851</v>
      </c>
      <c r="I83">
        <v>3.6</v>
      </c>
      <c r="J83" s="10">
        <v>46124</v>
      </c>
      <c r="K83" s="27">
        <v>46124.466377314813</v>
      </c>
    </row>
    <row r="84" spans="1:11" x14ac:dyDescent="0.25">
      <c r="A84">
        <v>83</v>
      </c>
      <c r="B84" t="s">
        <v>854</v>
      </c>
      <c r="C84" t="s">
        <v>130</v>
      </c>
      <c r="D84" t="s">
        <v>15</v>
      </c>
      <c r="E84">
        <v>381</v>
      </c>
      <c r="F84">
        <v>2.4</v>
      </c>
      <c r="G84">
        <v>23.19</v>
      </c>
      <c r="H84" t="s">
        <v>851</v>
      </c>
      <c r="I84">
        <v>4.5999999999999996</v>
      </c>
      <c r="J84" s="10">
        <v>46124</v>
      </c>
      <c r="K84" s="27">
        <v>46124.466597222221</v>
      </c>
    </row>
    <row r="85" spans="1:11" x14ac:dyDescent="0.25">
      <c r="A85">
        <v>84</v>
      </c>
      <c r="B85" t="s">
        <v>855</v>
      </c>
      <c r="C85" t="s">
        <v>472</v>
      </c>
      <c r="D85" t="s">
        <v>45</v>
      </c>
      <c r="E85">
        <v>355</v>
      </c>
      <c r="F85">
        <v>3</v>
      </c>
      <c r="G85">
        <v>17.02</v>
      </c>
      <c r="H85" t="s">
        <v>853</v>
      </c>
      <c r="I85">
        <v>3.8</v>
      </c>
      <c r="J85" s="10">
        <v>46124</v>
      </c>
      <c r="K85" s="27">
        <v>46124.466840277775</v>
      </c>
    </row>
    <row r="86" spans="1:11" x14ac:dyDescent="0.25">
      <c r="A86">
        <v>85</v>
      </c>
      <c r="B86" t="s">
        <v>856</v>
      </c>
      <c r="C86" t="s">
        <v>30</v>
      </c>
      <c r="D86" t="s">
        <v>11</v>
      </c>
      <c r="E86">
        <v>223</v>
      </c>
      <c r="F86">
        <v>5.6</v>
      </c>
      <c r="G86">
        <v>17.46</v>
      </c>
      <c r="H86" t="s">
        <v>851</v>
      </c>
      <c r="I86">
        <v>3.3</v>
      </c>
      <c r="J86" s="10">
        <v>46124</v>
      </c>
      <c r="K86" s="27">
        <v>46124.466979166667</v>
      </c>
    </row>
    <row r="87" spans="1:11" x14ac:dyDescent="0.25">
      <c r="A87">
        <v>86</v>
      </c>
      <c r="B87" t="s">
        <v>857</v>
      </c>
      <c r="C87" t="s">
        <v>16</v>
      </c>
      <c r="D87" t="s">
        <v>33</v>
      </c>
      <c r="E87">
        <v>146</v>
      </c>
      <c r="F87">
        <v>2.1</v>
      </c>
      <c r="G87">
        <v>14.01</v>
      </c>
      <c r="H87" t="s">
        <v>851</v>
      </c>
      <c r="I87">
        <v>4.0999999999999996</v>
      </c>
      <c r="J87" s="10">
        <v>46124</v>
      </c>
      <c r="K87" s="27">
        <v>46124.467094907406</v>
      </c>
    </row>
    <row r="88" spans="1:11" x14ac:dyDescent="0.25">
      <c r="A88">
        <v>87</v>
      </c>
      <c r="B88" t="s">
        <v>858</v>
      </c>
      <c r="C88" t="s">
        <v>133</v>
      </c>
      <c r="D88" t="s">
        <v>73</v>
      </c>
      <c r="E88">
        <v>265</v>
      </c>
      <c r="F88">
        <v>3.1</v>
      </c>
      <c r="G88">
        <v>21.06</v>
      </c>
      <c r="H88" t="s">
        <v>851</v>
      </c>
      <c r="I88">
        <v>4.8</v>
      </c>
      <c r="J88" s="10">
        <v>46124</v>
      </c>
      <c r="K88" s="27">
        <v>46124.467175925929</v>
      </c>
    </row>
    <row r="89" spans="1:11" x14ac:dyDescent="0.25">
      <c r="A89">
        <v>88</v>
      </c>
      <c r="B89" t="s">
        <v>859</v>
      </c>
      <c r="C89" t="s">
        <v>42</v>
      </c>
      <c r="D89" t="s">
        <v>20</v>
      </c>
      <c r="E89">
        <v>224</v>
      </c>
      <c r="F89">
        <v>6.1</v>
      </c>
      <c r="G89">
        <v>24.76</v>
      </c>
      <c r="H89" t="s">
        <v>851</v>
      </c>
      <c r="I89">
        <v>3.2</v>
      </c>
      <c r="J89" s="10">
        <v>46124</v>
      </c>
      <c r="K89" s="27">
        <v>46124.467372685183</v>
      </c>
    </row>
    <row r="90" spans="1:11" x14ac:dyDescent="0.25">
      <c r="A90">
        <v>89</v>
      </c>
      <c r="B90" t="s">
        <v>860</v>
      </c>
      <c r="C90" t="s">
        <v>36</v>
      </c>
      <c r="D90" t="s">
        <v>29</v>
      </c>
      <c r="E90">
        <v>428</v>
      </c>
      <c r="F90">
        <v>6.5</v>
      </c>
      <c r="G90">
        <v>10.81</v>
      </c>
      <c r="H90" t="s">
        <v>851</v>
      </c>
      <c r="I90">
        <v>3.4</v>
      </c>
      <c r="J90" s="10">
        <v>46124</v>
      </c>
      <c r="K90" s="27">
        <v>46124.467453703706</v>
      </c>
    </row>
    <row r="91" spans="1:11" x14ac:dyDescent="0.25">
      <c r="A91">
        <v>90</v>
      </c>
      <c r="B91" t="s">
        <v>861</v>
      </c>
      <c r="C91" t="s">
        <v>46</v>
      </c>
      <c r="D91" t="s">
        <v>15</v>
      </c>
      <c r="E91">
        <v>472</v>
      </c>
      <c r="F91">
        <v>4.7</v>
      </c>
      <c r="G91">
        <v>19.16</v>
      </c>
      <c r="H91" t="s">
        <v>851</v>
      </c>
      <c r="I91">
        <v>4</v>
      </c>
      <c r="J91" s="10">
        <v>46124</v>
      </c>
      <c r="K91" s="27">
        <v>46124.467557870368</v>
      </c>
    </row>
    <row r="92" spans="1:11" x14ac:dyDescent="0.25">
      <c r="A92">
        <v>91</v>
      </c>
      <c r="B92" t="s">
        <v>862</v>
      </c>
      <c r="C92" t="s">
        <v>76</v>
      </c>
      <c r="D92" t="s">
        <v>11</v>
      </c>
      <c r="E92">
        <v>323</v>
      </c>
      <c r="F92">
        <v>5.0999999999999996</v>
      </c>
      <c r="G92">
        <v>15.06</v>
      </c>
      <c r="H92" t="s">
        <v>851</v>
      </c>
      <c r="I92">
        <v>3.1</v>
      </c>
      <c r="J92" s="10">
        <v>46124</v>
      </c>
      <c r="K92" s="27">
        <v>46124.467627314814</v>
      </c>
    </row>
    <row r="93" spans="1:11" x14ac:dyDescent="0.25">
      <c r="A93">
        <v>92</v>
      </c>
      <c r="B93" t="s">
        <v>863</v>
      </c>
      <c r="C93" t="s">
        <v>65</v>
      </c>
      <c r="D93" t="s">
        <v>33</v>
      </c>
      <c r="E93">
        <v>121</v>
      </c>
      <c r="F93">
        <v>2.7</v>
      </c>
      <c r="G93">
        <v>10.29</v>
      </c>
      <c r="H93" t="s">
        <v>851</v>
      </c>
      <c r="I93">
        <v>4.4000000000000004</v>
      </c>
      <c r="J93" s="10">
        <v>46124</v>
      </c>
      <c r="K93" s="27">
        <v>46124.467835648145</v>
      </c>
    </row>
    <row r="94" spans="1:11" x14ac:dyDescent="0.25">
      <c r="A94">
        <v>93</v>
      </c>
      <c r="B94" t="s">
        <v>864</v>
      </c>
      <c r="C94" t="s">
        <v>68</v>
      </c>
      <c r="D94" t="s">
        <v>33</v>
      </c>
      <c r="E94">
        <v>391</v>
      </c>
      <c r="F94">
        <v>2</v>
      </c>
      <c r="G94">
        <v>20.98</v>
      </c>
      <c r="H94" t="s">
        <v>851</v>
      </c>
      <c r="I94">
        <v>3.9</v>
      </c>
      <c r="J94" s="10">
        <v>46124</v>
      </c>
      <c r="K94" s="27">
        <v>46124.467974537038</v>
      </c>
    </row>
    <row r="95" spans="1:11" x14ac:dyDescent="0.25">
      <c r="A95">
        <v>94</v>
      </c>
      <c r="B95" t="s">
        <v>865</v>
      </c>
      <c r="C95" t="s">
        <v>12</v>
      </c>
      <c r="D95" t="s">
        <v>45</v>
      </c>
      <c r="E95">
        <v>139</v>
      </c>
      <c r="F95">
        <v>2.6</v>
      </c>
      <c r="G95">
        <v>22.21</v>
      </c>
      <c r="H95" t="s">
        <v>851</v>
      </c>
      <c r="I95">
        <v>4</v>
      </c>
      <c r="J95" s="10">
        <v>46124</v>
      </c>
      <c r="K95" s="27">
        <v>46124.468078703707</v>
      </c>
    </row>
    <row r="96" spans="1:11" x14ac:dyDescent="0.25">
      <c r="A96">
        <v>95</v>
      </c>
      <c r="B96" t="s">
        <v>866</v>
      </c>
      <c r="C96" t="s">
        <v>51</v>
      </c>
      <c r="D96" t="s">
        <v>11</v>
      </c>
      <c r="E96">
        <v>225</v>
      </c>
      <c r="F96">
        <v>6.2</v>
      </c>
      <c r="G96">
        <v>21.87</v>
      </c>
      <c r="H96" t="s">
        <v>851</v>
      </c>
      <c r="I96">
        <v>4.7</v>
      </c>
      <c r="J96" s="10">
        <v>46124</v>
      </c>
      <c r="K96" s="27">
        <v>46124.468206018515</v>
      </c>
    </row>
    <row r="97" spans="1:11" x14ac:dyDescent="0.25">
      <c r="A97">
        <v>96</v>
      </c>
      <c r="B97" t="s">
        <v>867</v>
      </c>
      <c r="C97" t="s">
        <v>80</v>
      </c>
      <c r="D97" t="s">
        <v>11</v>
      </c>
      <c r="E97">
        <v>338</v>
      </c>
      <c r="F97">
        <v>4.0999999999999996</v>
      </c>
      <c r="G97">
        <v>12.86</v>
      </c>
      <c r="H97" t="s">
        <v>851</v>
      </c>
      <c r="I97">
        <v>3.4</v>
      </c>
      <c r="J97" s="10">
        <v>46124</v>
      </c>
      <c r="K97" s="27">
        <v>46124.468275462961</v>
      </c>
    </row>
    <row r="98" spans="1:11" x14ac:dyDescent="0.25">
      <c r="A98">
        <v>97</v>
      </c>
      <c r="B98" t="s">
        <v>868</v>
      </c>
      <c r="C98" t="s">
        <v>869</v>
      </c>
      <c r="D98" t="s">
        <v>11</v>
      </c>
      <c r="E98">
        <v>235</v>
      </c>
      <c r="F98">
        <v>6.8</v>
      </c>
      <c r="G98">
        <v>23.29</v>
      </c>
      <c r="H98" t="s">
        <v>851</v>
      </c>
      <c r="I98">
        <v>4.5</v>
      </c>
      <c r="J98" s="10">
        <v>46124</v>
      </c>
      <c r="K98" s="27">
        <v>46124.468495370369</v>
      </c>
    </row>
    <row r="99" spans="1:11" x14ac:dyDescent="0.25">
      <c r="A99">
        <v>98</v>
      </c>
      <c r="B99" t="s">
        <v>870</v>
      </c>
      <c r="C99" t="s">
        <v>68</v>
      </c>
      <c r="D99" t="s">
        <v>33</v>
      </c>
      <c r="E99">
        <v>162</v>
      </c>
      <c r="F99">
        <v>4.4000000000000004</v>
      </c>
      <c r="G99">
        <v>15.02</v>
      </c>
      <c r="H99" t="s">
        <v>853</v>
      </c>
      <c r="I99">
        <v>5</v>
      </c>
      <c r="J99" s="10">
        <v>46124</v>
      </c>
      <c r="K99" s="27">
        <v>46124.468715277777</v>
      </c>
    </row>
    <row r="100" spans="1:11" x14ac:dyDescent="0.25">
      <c r="A100">
        <v>99</v>
      </c>
      <c r="B100" t="s">
        <v>871</v>
      </c>
      <c r="C100" t="s">
        <v>133</v>
      </c>
      <c r="D100" t="s">
        <v>73</v>
      </c>
      <c r="E100">
        <v>139</v>
      </c>
      <c r="F100">
        <v>3.3</v>
      </c>
      <c r="G100">
        <v>21.64</v>
      </c>
      <c r="H100" t="s">
        <v>851</v>
      </c>
      <c r="I100">
        <v>4.5</v>
      </c>
      <c r="J100" s="10">
        <v>46124</v>
      </c>
      <c r="K100" s="27">
        <v>46124.468819444446</v>
      </c>
    </row>
    <row r="101" spans="1:11" x14ac:dyDescent="0.25">
      <c r="A101">
        <v>100</v>
      </c>
      <c r="B101" t="s">
        <v>872</v>
      </c>
      <c r="C101" t="s">
        <v>68</v>
      </c>
      <c r="D101" t="s">
        <v>33</v>
      </c>
      <c r="E101">
        <v>281</v>
      </c>
      <c r="F101">
        <v>2.7</v>
      </c>
      <c r="G101">
        <v>19.11</v>
      </c>
      <c r="H101" t="s">
        <v>851</v>
      </c>
      <c r="I101">
        <v>3</v>
      </c>
      <c r="J101" s="10">
        <v>46124</v>
      </c>
      <c r="K101" s="27">
        <v>46124.4690162037</v>
      </c>
    </row>
    <row r="102" spans="1:11" x14ac:dyDescent="0.25">
      <c r="A102">
        <v>101</v>
      </c>
      <c r="B102" t="s">
        <v>850</v>
      </c>
      <c r="C102" t="s">
        <v>57</v>
      </c>
      <c r="D102" t="s">
        <v>11</v>
      </c>
      <c r="E102">
        <v>481</v>
      </c>
      <c r="F102">
        <v>5.8</v>
      </c>
      <c r="G102">
        <v>18.809999999999999</v>
      </c>
      <c r="H102" t="s">
        <v>851</v>
      </c>
      <c r="I102">
        <v>4.5</v>
      </c>
      <c r="J102" s="10">
        <v>46124</v>
      </c>
      <c r="K102" s="27">
        <v>46124.469988425924</v>
      </c>
    </row>
    <row r="103" spans="1:11" x14ac:dyDescent="0.25">
      <c r="A103">
        <v>102</v>
      </c>
      <c r="B103" t="s">
        <v>852</v>
      </c>
      <c r="C103" t="s">
        <v>130</v>
      </c>
      <c r="D103" t="s">
        <v>15</v>
      </c>
      <c r="E103">
        <v>425</v>
      </c>
      <c r="F103">
        <v>6.8</v>
      </c>
      <c r="G103">
        <v>18.899999999999999</v>
      </c>
      <c r="H103" t="s">
        <v>851</v>
      </c>
      <c r="I103">
        <v>4.8</v>
      </c>
      <c r="J103" s="10">
        <v>46124</v>
      </c>
      <c r="K103" s="27">
        <v>46124.470150462963</v>
      </c>
    </row>
    <row r="104" spans="1:11" x14ac:dyDescent="0.25">
      <c r="A104">
        <v>103</v>
      </c>
      <c r="B104" t="s">
        <v>854</v>
      </c>
      <c r="C104" t="s">
        <v>130</v>
      </c>
      <c r="D104" t="s">
        <v>15</v>
      </c>
      <c r="E104">
        <v>486</v>
      </c>
      <c r="F104">
        <v>1.7</v>
      </c>
      <c r="G104">
        <v>17.32</v>
      </c>
      <c r="H104" t="s">
        <v>851</v>
      </c>
      <c r="I104">
        <v>3.6</v>
      </c>
      <c r="J104" s="10">
        <v>46124</v>
      </c>
      <c r="K104" s="27">
        <v>46124.470439814817</v>
      </c>
    </row>
    <row r="105" spans="1:11" x14ac:dyDescent="0.25">
      <c r="A105">
        <v>104</v>
      </c>
      <c r="B105" t="s">
        <v>855</v>
      </c>
      <c r="C105" t="s">
        <v>472</v>
      </c>
      <c r="D105" t="s">
        <v>45</v>
      </c>
      <c r="E105">
        <v>220</v>
      </c>
      <c r="F105">
        <v>1.8</v>
      </c>
      <c r="G105">
        <v>22.73</v>
      </c>
      <c r="H105" t="s">
        <v>851</v>
      </c>
      <c r="I105">
        <v>3</v>
      </c>
      <c r="J105" s="10">
        <v>46124</v>
      </c>
      <c r="K105" s="27">
        <v>46124.470613425925</v>
      </c>
    </row>
    <row r="106" spans="1:11" x14ac:dyDescent="0.25">
      <c r="A106">
        <v>105</v>
      </c>
      <c r="B106" t="s">
        <v>856</v>
      </c>
      <c r="C106" t="s">
        <v>30</v>
      </c>
      <c r="D106" t="s">
        <v>11</v>
      </c>
      <c r="E106">
        <v>342</v>
      </c>
      <c r="F106">
        <v>4.8</v>
      </c>
      <c r="G106">
        <v>8.5399999999999991</v>
      </c>
      <c r="H106" t="s">
        <v>851</v>
      </c>
      <c r="I106">
        <v>4.5999999999999996</v>
      </c>
      <c r="J106" s="10">
        <v>46124</v>
      </c>
      <c r="K106" s="27">
        <v>46124.470833333333</v>
      </c>
    </row>
    <row r="107" spans="1:11" x14ac:dyDescent="0.25">
      <c r="A107">
        <v>106</v>
      </c>
      <c r="B107" t="s">
        <v>857</v>
      </c>
      <c r="C107" t="s">
        <v>16</v>
      </c>
      <c r="D107" t="s">
        <v>33</v>
      </c>
      <c r="E107">
        <v>200</v>
      </c>
      <c r="F107">
        <v>3.6</v>
      </c>
      <c r="G107">
        <v>24.71</v>
      </c>
      <c r="H107" t="s">
        <v>851</v>
      </c>
      <c r="I107">
        <v>3.9</v>
      </c>
      <c r="J107" s="10">
        <v>46124</v>
      </c>
      <c r="K107" s="27">
        <v>46124.470937500002</v>
      </c>
    </row>
    <row r="108" spans="1:11" x14ac:dyDescent="0.25">
      <c r="A108">
        <v>107</v>
      </c>
      <c r="B108" t="s">
        <v>858</v>
      </c>
      <c r="C108" t="s">
        <v>133</v>
      </c>
      <c r="D108" t="s">
        <v>73</v>
      </c>
      <c r="E108">
        <v>404</v>
      </c>
      <c r="F108">
        <v>3.9</v>
      </c>
      <c r="G108">
        <v>24.03</v>
      </c>
      <c r="H108" t="s">
        <v>851</v>
      </c>
      <c r="I108">
        <v>3.4</v>
      </c>
      <c r="J108" s="10">
        <v>46124</v>
      </c>
      <c r="K108" s="27">
        <v>46124.471203703702</v>
      </c>
    </row>
    <row r="109" spans="1:11" x14ac:dyDescent="0.25">
      <c r="A109">
        <v>108</v>
      </c>
      <c r="B109" t="s">
        <v>859</v>
      </c>
      <c r="C109" t="s">
        <v>42</v>
      </c>
      <c r="D109" t="s">
        <v>20</v>
      </c>
      <c r="E109">
        <v>360</v>
      </c>
      <c r="F109">
        <v>5.6</v>
      </c>
      <c r="G109">
        <v>13.68</v>
      </c>
      <c r="H109" t="s">
        <v>851</v>
      </c>
      <c r="I109">
        <v>3.1</v>
      </c>
      <c r="J109" s="10">
        <v>46124</v>
      </c>
      <c r="K109" s="27">
        <v>46124.471365740741</v>
      </c>
    </row>
    <row r="110" spans="1:11" x14ac:dyDescent="0.25">
      <c r="A110">
        <v>109</v>
      </c>
      <c r="B110" t="s">
        <v>860</v>
      </c>
      <c r="C110" t="s">
        <v>36</v>
      </c>
      <c r="D110" t="s">
        <v>29</v>
      </c>
      <c r="E110">
        <v>306</v>
      </c>
      <c r="F110">
        <v>3.4</v>
      </c>
      <c r="G110">
        <v>20.39</v>
      </c>
      <c r="H110" t="s">
        <v>851</v>
      </c>
      <c r="I110">
        <v>4.0999999999999996</v>
      </c>
      <c r="J110" s="10">
        <v>46124</v>
      </c>
      <c r="K110" s="27">
        <v>46124.471585648149</v>
      </c>
    </row>
    <row r="111" spans="1:11" x14ac:dyDescent="0.25">
      <c r="A111">
        <v>110</v>
      </c>
      <c r="B111" t="s">
        <v>861</v>
      </c>
      <c r="C111" t="s">
        <v>46</v>
      </c>
      <c r="D111" t="s">
        <v>15</v>
      </c>
      <c r="E111">
        <v>154</v>
      </c>
      <c r="F111">
        <v>3</v>
      </c>
      <c r="G111">
        <v>6.73</v>
      </c>
      <c r="H111" t="s">
        <v>851</v>
      </c>
      <c r="I111">
        <v>4.3</v>
      </c>
      <c r="J111" s="10">
        <v>46124</v>
      </c>
      <c r="K111" s="27">
        <v>46124.47184027778</v>
      </c>
    </row>
    <row r="112" spans="1:11" x14ac:dyDescent="0.25">
      <c r="A112">
        <v>111</v>
      </c>
      <c r="B112" t="s">
        <v>862</v>
      </c>
      <c r="C112" t="s">
        <v>76</v>
      </c>
      <c r="D112" t="s">
        <v>11</v>
      </c>
      <c r="E112">
        <v>223</v>
      </c>
      <c r="F112">
        <v>1.7</v>
      </c>
      <c r="G112">
        <v>16.96</v>
      </c>
      <c r="H112" t="s">
        <v>851</v>
      </c>
      <c r="I112">
        <v>3.4</v>
      </c>
      <c r="J112" s="10">
        <v>46124</v>
      </c>
      <c r="K112" s="27">
        <v>46124.472129629627</v>
      </c>
    </row>
    <row r="113" spans="1:11" x14ac:dyDescent="0.25">
      <c r="A113">
        <v>112</v>
      </c>
      <c r="B113" t="s">
        <v>863</v>
      </c>
      <c r="C113" t="s">
        <v>65</v>
      </c>
      <c r="D113" t="s">
        <v>33</v>
      </c>
      <c r="E113">
        <v>412</v>
      </c>
      <c r="F113">
        <v>6.2</v>
      </c>
      <c r="G113">
        <v>9.8800000000000008</v>
      </c>
      <c r="H113" t="s">
        <v>851</v>
      </c>
      <c r="I113">
        <v>4</v>
      </c>
      <c r="J113" s="10">
        <v>46124</v>
      </c>
      <c r="K113" s="27">
        <v>46124.472418981481</v>
      </c>
    </row>
    <row r="114" spans="1:11" x14ac:dyDescent="0.25">
      <c r="A114">
        <v>113</v>
      </c>
      <c r="B114" t="s">
        <v>864</v>
      </c>
      <c r="C114" t="s">
        <v>68</v>
      </c>
      <c r="D114" t="s">
        <v>33</v>
      </c>
      <c r="E114">
        <v>474</v>
      </c>
      <c r="F114">
        <v>2.5</v>
      </c>
      <c r="G114">
        <v>20.9</v>
      </c>
      <c r="H114" t="s">
        <v>851</v>
      </c>
      <c r="I114">
        <v>3.4</v>
      </c>
      <c r="J114" s="10">
        <v>46124</v>
      </c>
      <c r="K114" s="27">
        <v>46124.47252314815</v>
      </c>
    </row>
    <row r="115" spans="1:11" x14ac:dyDescent="0.25">
      <c r="A115">
        <v>114</v>
      </c>
      <c r="B115" t="s">
        <v>865</v>
      </c>
      <c r="C115" t="s">
        <v>12</v>
      </c>
      <c r="D115" t="s">
        <v>45</v>
      </c>
      <c r="E115">
        <v>411</v>
      </c>
      <c r="F115">
        <v>2.2999999999999998</v>
      </c>
      <c r="G115">
        <v>13.44</v>
      </c>
      <c r="H115" t="s">
        <v>851</v>
      </c>
      <c r="I115">
        <v>4.2</v>
      </c>
      <c r="J115" s="10">
        <v>46124</v>
      </c>
      <c r="K115" s="27">
        <v>46124.472650462965</v>
      </c>
    </row>
    <row r="116" spans="1:11" x14ac:dyDescent="0.25">
      <c r="A116">
        <v>115</v>
      </c>
      <c r="B116" t="s">
        <v>866</v>
      </c>
      <c r="C116" t="s">
        <v>51</v>
      </c>
      <c r="D116" t="s">
        <v>11</v>
      </c>
      <c r="E116">
        <v>302</v>
      </c>
      <c r="F116">
        <v>6</v>
      </c>
      <c r="G116">
        <v>13.24</v>
      </c>
      <c r="H116" t="s">
        <v>851</v>
      </c>
      <c r="I116">
        <v>3.8</v>
      </c>
      <c r="J116" s="10">
        <v>46124</v>
      </c>
      <c r="K116" s="27">
        <v>46124.472928240742</v>
      </c>
    </row>
    <row r="117" spans="1:11" x14ac:dyDescent="0.25">
      <c r="A117">
        <v>116</v>
      </c>
      <c r="B117" t="s">
        <v>867</v>
      </c>
      <c r="C117" t="s">
        <v>80</v>
      </c>
      <c r="D117" t="s">
        <v>11</v>
      </c>
      <c r="E117">
        <v>218</v>
      </c>
      <c r="F117">
        <v>3.5</v>
      </c>
      <c r="G117">
        <v>21.17</v>
      </c>
      <c r="H117" t="s">
        <v>851</v>
      </c>
      <c r="I117">
        <v>4</v>
      </c>
      <c r="J117" s="10">
        <v>46124</v>
      </c>
      <c r="K117" s="27">
        <v>46124.473113425927</v>
      </c>
    </row>
    <row r="118" spans="1:11" x14ac:dyDescent="0.25">
      <c r="A118">
        <v>117</v>
      </c>
      <c r="B118" t="s">
        <v>868</v>
      </c>
      <c r="C118" t="s">
        <v>869</v>
      </c>
      <c r="D118" t="s">
        <v>11</v>
      </c>
      <c r="E118">
        <v>104</v>
      </c>
      <c r="F118">
        <v>6</v>
      </c>
      <c r="G118">
        <v>5.12</v>
      </c>
      <c r="H118" t="s">
        <v>851</v>
      </c>
      <c r="I118">
        <v>3.5</v>
      </c>
      <c r="J118" s="10">
        <v>46124</v>
      </c>
      <c r="K118" s="27">
        <v>46124.473171296297</v>
      </c>
    </row>
    <row r="119" spans="1:11" x14ac:dyDescent="0.25">
      <c r="A119">
        <v>118</v>
      </c>
      <c r="B119" t="s">
        <v>870</v>
      </c>
      <c r="C119" t="s">
        <v>68</v>
      </c>
      <c r="D119" t="s">
        <v>33</v>
      </c>
      <c r="E119">
        <v>198</v>
      </c>
      <c r="F119">
        <v>1.9</v>
      </c>
      <c r="G119">
        <v>8.2899999999999991</v>
      </c>
      <c r="H119" t="s">
        <v>851</v>
      </c>
      <c r="I119">
        <v>3.1</v>
      </c>
      <c r="J119" s="10">
        <v>46124</v>
      </c>
      <c r="K119" s="27">
        <v>46124.473252314812</v>
      </c>
    </row>
    <row r="120" spans="1:11" x14ac:dyDescent="0.25">
      <c r="A120">
        <v>119</v>
      </c>
      <c r="B120" t="s">
        <v>871</v>
      </c>
      <c r="C120" t="s">
        <v>133</v>
      </c>
      <c r="D120" t="s">
        <v>73</v>
      </c>
      <c r="E120">
        <v>204</v>
      </c>
      <c r="F120">
        <v>2.8</v>
      </c>
      <c r="G120">
        <v>14.3</v>
      </c>
      <c r="H120" t="s">
        <v>851</v>
      </c>
      <c r="I120">
        <v>4.5999999999999996</v>
      </c>
      <c r="J120" s="10">
        <v>46124</v>
      </c>
      <c r="K120" s="27">
        <v>46124.473449074074</v>
      </c>
    </row>
    <row r="121" spans="1:11" x14ac:dyDescent="0.25">
      <c r="A121">
        <v>120</v>
      </c>
      <c r="B121" t="s">
        <v>872</v>
      </c>
      <c r="C121" t="s">
        <v>68</v>
      </c>
      <c r="D121" t="s">
        <v>33</v>
      </c>
      <c r="E121">
        <v>345</v>
      </c>
      <c r="F121">
        <v>4.7</v>
      </c>
      <c r="G121">
        <v>20.399999999999999</v>
      </c>
      <c r="H121" t="s">
        <v>851</v>
      </c>
      <c r="I121">
        <v>3.6</v>
      </c>
      <c r="J121" s="10">
        <v>46124</v>
      </c>
      <c r="K121" s="27">
        <v>46124.473657407405</v>
      </c>
    </row>
    <row r="122" spans="1:11" x14ac:dyDescent="0.25">
      <c r="A122">
        <v>121</v>
      </c>
      <c r="B122" t="s">
        <v>850</v>
      </c>
      <c r="C122" t="s">
        <v>57</v>
      </c>
      <c r="D122" t="s">
        <v>11</v>
      </c>
      <c r="E122">
        <v>322</v>
      </c>
      <c r="F122">
        <v>5.5</v>
      </c>
      <c r="G122">
        <v>18.39</v>
      </c>
      <c r="H122" t="s">
        <v>851</v>
      </c>
      <c r="I122">
        <v>4.4000000000000004</v>
      </c>
      <c r="J122" s="10">
        <v>46124</v>
      </c>
      <c r="K122" s="27">
        <v>46124.487199074072</v>
      </c>
    </row>
    <row r="123" spans="1:11" x14ac:dyDescent="0.25">
      <c r="A123">
        <v>122</v>
      </c>
      <c r="B123" t="s">
        <v>852</v>
      </c>
      <c r="C123" t="s">
        <v>130</v>
      </c>
      <c r="D123" t="s">
        <v>15</v>
      </c>
      <c r="E123">
        <v>333</v>
      </c>
      <c r="F123">
        <v>3.9</v>
      </c>
      <c r="G123">
        <v>8.26</v>
      </c>
      <c r="H123" t="s">
        <v>853</v>
      </c>
      <c r="I123">
        <v>3.2</v>
      </c>
      <c r="J123" s="10">
        <v>46124</v>
      </c>
      <c r="K123" s="27">
        <v>46124.487488425926</v>
      </c>
    </row>
    <row r="124" spans="1:11" x14ac:dyDescent="0.25">
      <c r="A124">
        <v>123</v>
      </c>
      <c r="B124" t="s">
        <v>854</v>
      </c>
      <c r="C124" t="s">
        <v>130</v>
      </c>
      <c r="D124" t="s">
        <v>15</v>
      </c>
      <c r="E124">
        <v>290</v>
      </c>
      <c r="F124">
        <v>5.3</v>
      </c>
      <c r="G124">
        <v>19.809999999999999</v>
      </c>
      <c r="H124" t="s">
        <v>851</v>
      </c>
      <c r="I124">
        <v>3.1</v>
      </c>
      <c r="J124" s="10">
        <v>46124</v>
      </c>
      <c r="K124" s="27">
        <v>46124.487685185188</v>
      </c>
    </row>
    <row r="125" spans="1:11" x14ac:dyDescent="0.25">
      <c r="A125">
        <v>124</v>
      </c>
      <c r="B125" t="s">
        <v>855</v>
      </c>
      <c r="C125" t="s">
        <v>472</v>
      </c>
      <c r="D125" t="s">
        <v>45</v>
      </c>
      <c r="E125">
        <v>196</v>
      </c>
      <c r="F125">
        <v>5.8</v>
      </c>
      <c r="G125">
        <v>21.37</v>
      </c>
      <c r="H125" t="s">
        <v>851</v>
      </c>
      <c r="I125">
        <v>4.7</v>
      </c>
      <c r="J125" s="10">
        <v>46124</v>
      </c>
      <c r="K125" s="27">
        <v>46124.487812500003</v>
      </c>
    </row>
    <row r="126" spans="1:11" x14ac:dyDescent="0.25">
      <c r="A126">
        <v>125</v>
      </c>
      <c r="B126" t="s">
        <v>856</v>
      </c>
      <c r="C126" t="s">
        <v>30</v>
      </c>
      <c r="D126" t="s">
        <v>11</v>
      </c>
      <c r="E126">
        <v>305</v>
      </c>
      <c r="F126">
        <v>4.4000000000000004</v>
      </c>
      <c r="G126">
        <v>9.0399999999999991</v>
      </c>
      <c r="H126" t="s">
        <v>851</v>
      </c>
      <c r="I126">
        <v>3.8</v>
      </c>
      <c r="J126" s="10">
        <v>46124</v>
      </c>
      <c r="K126" s="27">
        <v>46124.48810185185</v>
      </c>
    </row>
    <row r="127" spans="1:11" x14ac:dyDescent="0.25">
      <c r="A127">
        <v>126</v>
      </c>
      <c r="B127" t="s">
        <v>857</v>
      </c>
      <c r="C127" t="s">
        <v>16</v>
      </c>
      <c r="D127" t="s">
        <v>33</v>
      </c>
      <c r="E127">
        <v>241</v>
      </c>
      <c r="F127">
        <v>1.7</v>
      </c>
      <c r="G127">
        <v>19.48</v>
      </c>
      <c r="H127" t="s">
        <v>851</v>
      </c>
      <c r="I127">
        <v>4.4000000000000004</v>
      </c>
      <c r="J127" s="10">
        <v>46124</v>
      </c>
      <c r="K127" s="27">
        <v>46124.488298611112</v>
      </c>
    </row>
    <row r="128" spans="1:11" x14ac:dyDescent="0.25">
      <c r="A128">
        <v>127</v>
      </c>
      <c r="B128" t="s">
        <v>858</v>
      </c>
      <c r="C128" t="s">
        <v>133</v>
      </c>
      <c r="D128" t="s">
        <v>73</v>
      </c>
      <c r="E128">
        <v>157</v>
      </c>
      <c r="F128">
        <v>6.2</v>
      </c>
      <c r="G128">
        <v>7.34</v>
      </c>
      <c r="H128" t="s">
        <v>851</v>
      </c>
      <c r="I128">
        <v>4.8</v>
      </c>
      <c r="J128" s="10">
        <v>46124</v>
      </c>
      <c r="K128" s="27">
        <v>46124.488449074073</v>
      </c>
    </row>
    <row r="129" spans="1:11" x14ac:dyDescent="0.25">
      <c r="A129">
        <v>128</v>
      </c>
      <c r="B129" t="s">
        <v>859</v>
      </c>
      <c r="C129" t="s">
        <v>42</v>
      </c>
      <c r="D129" t="s">
        <v>20</v>
      </c>
      <c r="E129">
        <v>293</v>
      </c>
      <c r="F129">
        <v>3</v>
      </c>
      <c r="G129">
        <v>17.850000000000001</v>
      </c>
      <c r="H129" t="s">
        <v>851</v>
      </c>
      <c r="I129">
        <v>4.0999999999999996</v>
      </c>
      <c r="J129" s="10">
        <v>46124</v>
      </c>
      <c r="K129" s="27">
        <v>46124.488599537035</v>
      </c>
    </row>
    <row r="130" spans="1:11" x14ac:dyDescent="0.25">
      <c r="A130">
        <v>129</v>
      </c>
      <c r="B130" t="s">
        <v>860</v>
      </c>
      <c r="C130" t="s">
        <v>36</v>
      </c>
      <c r="D130" t="s">
        <v>29</v>
      </c>
      <c r="E130">
        <v>202</v>
      </c>
      <c r="F130">
        <v>3.9</v>
      </c>
      <c r="G130">
        <v>12.87</v>
      </c>
      <c r="H130" t="s">
        <v>851</v>
      </c>
      <c r="I130">
        <v>4</v>
      </c>
      <c r="J130" s="10">
        <v>46124</v>
      </c>
      <c r="K130" s="27">
        <v>46124.488738425927</v>
      </c>
    </row>
    <row r="131" spans="1:11" x14ac:dyDescent="0.25">
      <c r="A131">
        <v>130</v>
      </c>
      <c r="B131" t="s">
        <v>861</v>
      </c>
      <c r="C131" t="s">
        <v>46</v>
      </c>
      <c r="D131" t="s">
        <v>15</v>
      </c>
      <c r="E131">
        <v>216</v>
      </c>
      <c r="F131">
        <v>5.6</v>
      </c>
      <c r="G131">
        <v>7.97</v>
      </c>
      <c r="H131" t="s">
        <v>851</v>
      </c>
      <c r="I131">
        <v>3.2</v>
      </c>
      <c r="J131" s="10">
        <v>46124</v>
      </c>
      <c r="K131" s="27">
        <v>46124.488958333335</v>
      </c>
    </row>
    <row r="132" spans="1:11" x14ac:dyDescent="0.25">
      <c r="A132">
        <v>131</v>
      </c>
      <c r="B132" t="s">
        <v>862</v>
      </c>
      <c r="C132" t="s">
        <v>76</v>
      </c>
      <c r="D132" t="s">
        <v>11</v>
      </c>
      <c r="E132">
        <v>244</v>
      </c>
      <c r="F132">
        <v>2.9</v>
      </c>
      <c r="G132">
        <v>24.39</v>
      </c>
      <c r="H132" t="s">
        <v>851</v>
      </c>
      <c r="I132">
        <v>3.5</v>
      </c>
      <c r="J132" s="10">
        <v>46124</v>
      </c>
      <c r="K132" s="27">
        <v>46124.489039351851</v>
      </c>
    </row>
    <row r="133" spans="1:11" x14ac:dyDescent="0.25">
      <c r="A133">
        <v>132</v>
      </c>
      <c r="B133" t="s">
        <v>863</v>
      </c>
      <c r="C133" t="s">
        <v>65</v>
      </c>
      <c r="D133" t="s">
        <v>33</v>
      </c>
      <c r="E133">
        <v>353</v>
      </c>
      <c r="F133">
        <v>4.4000000000000004</v>
      </c>
      <c r="G133">
        <v>10.82</v>
      </c>
      <c r="H133" t="s">
        <v>851</v>
      </c>
      <c r="I133">
        <v>4.5</v>
      </c>
      <c r="J133" s="10">
        <v>46124</v>
      </c>
      <c r="K133" s="27">
        <v>46124.489293981482</v>
      </c>
    </row>
    <row r="134" spans="1:11" x14ac:dyDescent="0.25">
      <c r="A134">
        <v>133</v>
      </c>
      <c r="B134" t="s">
        <v>864</v>
      </c>
      <c r="C134" t="s">
        <v>68</v>
      </c>
      <c r="D134" t="s">
        <v>33</v>
      </c>
      <c r="E134">
        <v>302</v>
      </c>
      <c r="F134">
        <v>5.0999999999999996</v>
      </c>
      <c r="G134">
        <v>10.88</v>
      </c>
      <c r="H134" t="s">
        <v>851</v>
      </c>
      <c r="I134">
        <v>3.5</v>
      </c>
      <c r="J134" s="10">
        <v>46124</v>
      </c>
      <c r="K134" s="27">
        <v>46124.48951388889</v>
      </c>
    </row>
    <row r="135" spans="1:11" x14ac:dyDescent="0.25">
      <c r="A135">
        <v>134</v>
      </c>
      <c r="B135" t="s">
        <v>865</v>
      </c>
      <c r="C135" t="s">
        <v>12</v>
      </c>
      <c r="D135" t="s">
        <v>45</v>
      </c>
      <c r="E135">
        <v>315</v>
      </c>
      <c r="F135">
        <v>2.4</v>
      </c>
      <c r="G135">
        <v>13.41</v>
      </c>
      <c r="H135" t="s">
        <v>851</v>
      </c>
      <c r="I135">
        <v>3</v>
      </c>
      <c r="J135" s="10">
        <v>46124</v>
      </c>
      <c r="K135" s="27">
        <v>46124.489756944444</v>
      </c>
    </row>
    <row r="136" spans="1:11" x14ac:dyDescent="0.25">
      <c r="A136">
        <v>135</v>
      </c>
      <c r="B136" t="s">
        <v>866</v>
      </c>
      <c r="C136" t="s">
        <v>51</v>
      </c>
      <c r="D136" t="s">
        <v>11</v>
      </c>
      <c r="E136">
        <v>435</v>
      </c>
      <c r="F136">
        <v>5.4</v>
      </c>
      <c r="G136">
        <v>9.52</v>
      </c>
      <c r="H136" t="s">
        <v>851</v>
      </c>
      <c r="I136">
        <v>4.5</v>
      </c>
      <c r="J136" s="10">
        <v>46124</v>
      </c>
      <c r="K136" s="27">
        <v>46124.489965277775</v>
      </c>
    </row>
    <row r="137" spans="1:11" x14ac:dyDescent="0.25">
      <c r="A137">
        <v>136</v>
      </c>
      <c r="B137" t="s">
        <v>867</v>
      </c>
      <c r="C137" t="s">
        <v>80</v>
      </c>
      <c r="D137" t="s">
        <v>11</v>
      </c>
      <c r="E137">
        <v>323</v>
      </c>
      <c r="F137">
        <v>5.9</v>
      </c>
      <c r="G137">
        <v>19.670000000000002</v>
      </c>
      <c r="H137" t="s">
        <v>851</v>
      </c>
      <c r="I137">
        <v>3.7</v>
      </c>
      <c r="J137" s="10">
        <v>46124</v>
      </c>
      <c r="K137" s="27">
        <v>46124.490208333336</v>
      </c>
    </row>
    <row r="138" spans="1:11" x14ac:dyDescent="0.25">
      <c r="A138">
        <v>137</v>
      </c>
      <c r="B138" t="s">
        <v>868</v>
      </c>
      <c r="C138" t="s">
        <v>869</v>
      </c>
      <c r="D138" t="s">
        <v>11</v>
      </c>
      <c r="E138">
        <v>103</v>
      </c>
      <c r="F138">
        <v>6.7</v>
      </c>
      <c r="G138">
        <v>24.01</v>
      </c>
      <c r="H138" t="s">
        <v>851</v>
      </c>
      <c r="I138">
        <v>3.6</v>
      </c>
      <c r="J138" s="10">
        <v>46124</v>
      </c>
      <c r="K138" s="27">
        <v>46124.490405092591</v>
      </c>
    </row>
    <row r="139" spans="1:11" x14ac:dyDescent="0.25">
      <c r="A139">
        <v>138</v>
      </c>
      <c r="B139" t="s">
        <v>870</v>
      </c>
      <c r="C139" t="s">
        <v>68</v>
      </c>
      <c r="D139" t="s">
        <v>33</v>
      </c>
      <c r="E139">
        <v>410</v>
      </c>
      <c r="F139">
        <v>1.8</v>
      </c>
      <c r="G139">
        <v>17.850000000000001</v>
      </c>
      <c r="H139" t="s">
        <v>851</v>
      </c>
      <c r="I139">
        <v>3.3</v>
      </c>
      <c r="J139" s="10">
        <v>46124</v>
      </c>
      <c r="K139" s="27">
        <v>46124.490624999999</v>
      </c>
    </row>
    <row r="140" spans="1:11" x14ac:dyDescent="0.25">
      <c r="A140">
        <v>139</v>
      </c>
      <c r="B140" t="s">
        <v>871</v>
      </c>
      <c r="C140" t="s">
        <v>133</v>
      </c>
      <c r="D140" t="s">
        <v>73</v>
      </c>
      <c r="E140">
        <v>443</v>
      </c>
      <c r="F140">
        <v>5</v>
      </c>
      <c r="G140">
        <v>19.93</v>
      </c>
      <c r="H140" t="s">
        <v>851</v>
      </c>
      <c r="I140">
        <v>3.2</v>
      </c>
      <c r="J140" s="10">
        <v>46124</v>
      </c>
      <c r="K140" s="27">
        <v>46124.490902777776</v>
      </c>
    </row>
    <row r="141" spans="1:11" x14ac:dyDescent="0.25">
      <c r="A141">
        <v>140</v>
      </c>
      <c r="B141" t="s">
        <v>872</v>
      </c>
      <c r="C141" t="s">
        <v>68</v>
      </c>
      <c r="D141" t="s">
        <v>33</v>
      </c>
      <c r="E141">
        <v>115</v>
      </c>
      <c r="F141">
        <v>4.5</v>
      </c>
      <c r="G141">
        <v>21.84</v>
      </c>
      <c r="H141" t="s">
        <v>851</v>
      </c>
      <c r="I141">
        <v>4</v>
      </c>
      <c r="J141" s="10">
        <v>46124</v>
      </c>
      <c r="K141" s="27">
        <v>46124.491180555553</v>
      </c>
    </row>
    <row r="142" spans="1:11" x14ac:dyDescent="0.25">
      <c r="A142">
        <v>141</v>
      </c>
      <c r="B142" t="s">
        <v>850</v>
      </c>
      <c r="C142" t="s">
        <v>57</v>
      </c>
      <c r="D142" t="s">
        <v>11</v>
      </c>
      <c r="E142">
        <v>262</v>
      </c>
      <c r="F142">
        <v>3</v>
      </c>
      <c r="G142">
        <v>14.25</v>
      </c>
      <c r="H142" t="s">
        <v>853</v>
      </c>
      <c r="I142">
        <v>4.2</v>
      </c>
      <c r="J142" s="10">
        <v>46125</v>
      </c>
      <c r="K142" s="27">
        <v>46125.56925925926</v>
      </c>
    </row>
    <row r="143" spans="1:11" x14ac:dyDescent="0.25">
      <c r="A143">
        <v>142</v>
      </c>
      <c r="B143" t="s">
        <v>852</v>
      </c>
      <c r="C143" t="s">
        <v>130</v>
      </c>
      <c r="D143" t="s">
        <v>15</v>
      </c>
      <c r="E143">
        <v>222</v>
      </c>
      <c r="F143">
        <v>4.4000000000000004</v>
      </c>
      <c r="G143">
        <v>8.0399999999999991</v>
      </c>
      <c r="H143" t="s">
        <v>851</v>
      </c>
      <c r="I143">
        <v>3.6</v>
      </c>
      <c r="J143" s="10">
        <v>46125</v>
      </c>
      <c r="K143" s="27">
        <v>46125.569456018522</v>
      </c>
    </row>
    <row r="144" spans="1:11" x14ac:dyDescent="0.25">
      <c r="A144">
        <v>143</v>
      </c>
      <c r="B144" t="s">
        <v>854</v>
      </c>
      <c r="C144" t="s">
        <v>130</v>
      </c>
      <c r="D144" t="s">
        <v>15</v>
      </c>
      <c r="E144">
        <v>429</v>
      </c>
      <c r="F144">
        <v>7</v>
      </c>
      <c r="G144">
        <v>11.65</v>
      </c>
      <c r="H144" t="s">
        <v>851</v>
      </c>
      <c r="I144">
        <v>3.2</v>
      </c>
      <c r="J144" s="10">
        <v>46125</v>
      </c>
      <c r="K144" s="27">
        <v>46125.569745370369</v>
      </c>
    </row>
    <row r="145" spans="1:11" x14ac:dyDescent="0.25">
      <c r="A145">
        <v>144</v>
      </c>
      <c r="B145" t="s">
        <v>855</v>
      </c>
      <c r="C145" t="s">
        <v>472</v>
      </c>
      <c r="D145" t="s">
        <v>45</v>
      </c>
      <c r="E145">
        <v>129</v>
      </c>
      <c r="F145">
        <v>6.9</v>
      </c>
      <c r="G145">
        <v>7.17</v>
      </c>
      <c r="H145" t="s">
        <v>851</v>
      </c>
      <c r="I145">
        <v>3.6</v>
      </c>
      <c r="J145" s="10">
        <v>46125</v>
      </c>
      <c r="K145" s="27">
        <v>46125.57</v>
      </c>
    </row>
    <row r="146" spans="1:11" x14ac:dyDescent="0.25">
      <c r="A146">
        <v>145</v>
      </c>
      <c r="B146" t="s">
        <v>856</v>
      </c>
      <c r="C146" t="s">
        <v>30</v>
      </c>
      <c r="D146" t="s">
        <v>11</v>
      </c>
      <c r="E146">
        <v>217</v>
      </c>
      <c r="F146">
        <v>3.2</v>
      </c>
      <c r="G146">
        <v>12.33</v>
      </c>
      <c r="H146" t="s">
        <v>851</v>
      </c>
      <c r="I146">
        <v>3.6</v>
      </c>
      <c r="J146" s="10">
        <v>46125</v>
      </c>
      <c r="K146" s="27">
        <v>46125.570196759261</v>
      </c>
    </row>
    <row r="147" spans="1:11" x14ac:dyDescent="0.25">
      <c r="A147">
        <v>146</v>
      </c>
      <c r="B147" t="s">
        <v>857</v>
      </c>
      <c r="C147" t="s">
        <v>16</v>
      </c>
      <c r="D147" t="s">
        <v>33</v>
      </c>
      <c r="E147">
        <v>330</v>
      </c>
      <c r="F147">
        <v>1.5</v>
      </c>
      <c r="G147">
        <v>18.38</v>
      </c>
      <c r="H147" t="s">
        <v>851</v>
      </c>
      <c r="I147">
        <v>4.5</v>
      </c>
      <c r="J147" s="10">
        <v>46125</v>
      </c>
      <c r="K147" s="27">
        <v>46125.570324074077</v>
      </c>
    </row>
    <row r="148" spans="1:11" x14ac:dyDescent="0.25">
      <c r="A148">
        <v>147</v>
      </c>
      <c r="B148" t="s">
        <v>858</v>
      </c>
      <c r="C148" t="s">
        <v>133</v>
      </c>
      <c r="D148" t="s">
        <v>73</v>
      </c>
      <c r="E148">
        <v>311</v>
      </c>
      <c r="F148">
        <v>4.3</v>
      </c>
      <c r="G148">
        <v>24.67</v>
      </c>
      <c r="H148" t="s">
        <v>851</v>
      </c>
      <c r="I148">
        <v>3.1</v>
      </c>
      <c r="J148" s="10">
        <v>46125</v>
      </c>
      <c r="K148" s="27">
        <v>46125.570509259262</v>
      </c>
    </row>
    <row r="149" spans="1:11" x14ac:dyDescent="0.25">
      <c r="A149">
        <v>148</v>
      </c>
      <c r="B149" t="s">
        <v>859</v>
      </c>
      <c r="C149" t="s">
        <v>42</v>
      </c>
      <c r="D149" t="s">
        <v>20</v>
      </c>
      <c r="E149">
        <v>154</v>
      </c>
      <c r="F149">
        <v>6.7</v>
      </c>
      <c r="G149">
        <v>22.23</v>
      </c>
      <c r="H149" t="s">
        <v>851</v>
      </c>
      <c r="I149">
        <v>4.5999999999999996</v>
      </c>
      <c r="J149" s="10">
        <v>46125</v>
      </c>
      <c r="K149" s="27">
        <v>46125.570752314816</v>
      </c>
    </row>
    <row r="150" spans="1:11" x14ac:dyDescent="0.25">
      <c r="A150">
        <v>149</v>
      </c>
      <c r="B150" t="s">
        <v>860</v>
      </c>
      <c r="C150" t="s">
        <v>36</v>
      </c>
      <c r="D150" t="s">
        <v>29</v>
      </c>
      <c r="E150">
        <v>132</v>
      </c>
      <c r="F150">
        <v>2.2000000000000002</v>
      </c>
      <c r="G150">
        <v>13.01</v>
      </c>
      <c r="H150" t="s">
        <v>851</v>
      </c>
      <c r="I150">
        <v>4.2</v>
      </c>
      <c r="J150" s="10">
        <v>46125</v>
      </c>
      <c r="K150" s="27">
        <v>46125.571030092593</v>
      </c>
    </row>
    <row r="151" spans="1:11" x14ac:dyDescent="0.25">
      <c r="A151">
        <v>150</v>
      </c>
      <c r="B151" t="s">
        <v>861</v>
      </c>
      <c r="C151" t="s">
        <v>46</v>
      </c>
      <c r="D151" t="s">
        <v>15</v>
      </c>
      <c r="E151">
        <v>379</v>
      </c>
      <c r="F151">
        <v>3.2</v>
      </c>
      <c r="G151">
        <v>15.54</v>
      </c>
      <c r="H151" t="s">
        <v>851</v>
      </c>
      <c r="I151">
        <v>4.7</v>
      </c>
      <c r="J151" s="10">
        <v>46125</v>
      </c>
      <c r="K151" s="27">
        <v>46125.571261574078</v>
      </c>
    </row>
    <row r="152" spans="1:11" x14ac:dyDescent="0.25">
      <c r="A152">
        <v>151</v>
      </c>
      <c r="B152" t="s">
        <v>862</v>
      </c>
      <c r="C152" t="s">
        <v>76</v>
      </c>
      <c r="D152" t="s">
        <v>11</v>
      </c>
      <c r="E152">
        <v>388</v>
      </c>
      <c r="F152">
        <v>4.5999999999999996</v>
      </c>
      <c r="G152">
        <v>10.74</v>
      </c>
      <c r="H152" t="s">
        <v>851</v>
      </c>
      <c r="I152">
        <v>4.0999999999999996</v>
      </c>
      <c r="J152" s="10">
        <v>46125</v>
      </c>
      <c r="K152" s="27">
        <v>46125.571504629632</v>
      </c>
    </row>
    <row r="153" spans="1:11" x14ac:dyDescent="0.25">
      <c r="A153">
        <v>152</v>
      </c>
      <c r="B153" t="s">
        <v>863</v>
      </c>
      <c r="C153" t="s">
        <v>65</v>
      </c>
      <c r="D153" t="s">
        <v>33</v>
      </c>
      <c r="E153">
        <v>183</v>
      </c>
      <c r="F153">
        <v>1.6</v>
      </c>
      <c r="G153">
        <v>14.82</v>
      </c>
      <c r="H153" t="s">
        <v>851</v>
      </c>
      <c r="I153">
        <v>3.1</v>
      </c>
      <c r="J153" s="10">
        <v>46125</v>
      </c>
      <c r="K153" s="27">
        <v>46125.571701388886</v>
      </c>
    </row>
    <row r="154" spans="1:11" x14ac:dyDescent="0.25">
      <c r="A154">
        <v>153</v>
      </c>
      <c r="B154" t="s">
        <v>864</v>
      </c>
      <c r="C154" t="s">
        <v>68</v>
      </c>
      <c r="D154" t="s">
        <v>33</v>
      </c>
      <c r="E154">
        <v>436</v>
      </c>
      <c r="F154">
        <v>5.0999999999999996</v>
      </c>
      <c r="G154">
        <v>18.93</v>
      </c>
      <c r="H154" t="s">
        <v>851</v>
      </c>
      <c r="I154">
        <v>3.6</v>
      </c>
      <c r="J154" s="10">
        <v>46125</v>
      </c>
      <c r="K154" s="27">
        <v>46125.571944444448</v>
      </c>
    </row>
    <row r="155" spans="1:11" x14ac:dyDescent="0.25">
      <c r="A155">
        <v>154</v>
      </c>
      <c r="B155" t="s">
        <v>865</v>
      </c>
      <c r="C155" t="s">
        <v>12</v>
      </c>
      <c r="D155" t="s">
        <v>45</v>
      </c>
      <c r="E155">
        <v>135</v>
      </c>
      <c r="F155">
        <v>2.1</v>
      </c>
      <c r="G155">
        <v>18.12</v>
      </c>
      <c r="H155" t="s">
        <v>851</v>
      </c>
      <c r="I155">
        <v>4.0999999999999996</v>
      </c>
      <c r="J155" s="10">
        <v>46125</v>
      </c>
      <c r="K155" s="27">
        <v>46125.572106481479</v>
      </c>
    </row>
    <row r="156" spans="1:11" x14ac:dyDescent="0.25">
      <c r="A156">
        <v>155</v>
      </c>
      <c r="B156" t="s">
        <v>866</v>
      </c>
      <c r="C156" t="s">
        <v>51</v>
      </c>
      <c r="D156" t="s">
        <v>11</v>
      </c>
      <c r="E156">
        <v>430</v>
      </c>
      <c r="F156">
        <v>2.2999999999999998</v>
      </c>
      <c r="G156">
        <v>8.0399999999999991</v>
      </c>
      <c r="H156" t="s">
        <v>851</v>
      </c>
      <c r="I156">
        <v>3.6</v>
      </c>
      <c r="J156" s="10">
        <v>46125</v>
      </c>
      <c r="K156" s="27">
        <v>46125.572291666664</v>
      </c>
    </row>
    <row r="157" spans="1:11" x14ac:dyDescent="0.25">
      <c r="A157">
        <v>156</v>
      </c>
      <c r="B157" t="s">
        <v>867</v>
      </c>
      <c r="C157" t="s">
        <v>80</v>
      </c>
      <c r="D157" t="s">
        <v>11</v>
      </c>
      <c r="E157">
        <v>213</v>
      </c>
      <c r="F157">
        <v>2.2999999999999998</v>
      </c>
      <c r="G157">
        <v>22.73</v>
      </c>
      <c r="H157" t="s">
        <v>851</v>
      </c>
      <c r="I157">
        <v>4.4000000000000004</v>
      </c>
      <c r="J157" s="10">
        <v>46125</v>
      </c>
      <c r="K157" s="27">
        <v>46125.572476851848</v>
      </c>
    </row>
    <row r="158" spans="1:11" x14ac:dyDescent="0.25">
      <c r="A158">
        <v>157</v>
      </c>
      <c r="B158" t="s">
        <v>868</v>
      </c>
      <c r="C158" t="s">
        <v>869</v>
      </c>
      <c r="D158" t="s">
        <v>11</v>
      </c>
      <c r="E158">
        <v>119</v>
      </c>
      <c r="F158">
        <v>6.9</v>
      </c>
      <c r="G158">
        <v>20.47</v>
      </c>
      <c r="H158" t="s">
        <v>851</v>
      </c>
      <c r="I158">
        <v>4.7</v>
      </c>
      <c r="J158" s="10">
        <v>46125</v>
      </c>
      <c r="K158" s="27">
        <v>46125.572534722225</v>
      </c>
    </row>
    <row r="159" spans="1:11" x14ac:dyDescent="0.25">
      <c r="A159">
        <v>158</v>
      </c>
      <c r="B159" t="s">
        <v>870</v>
      </c>
      <c r="C159" t="s">
        <v>68</v>
      </c>
      <c r="D159" t="s">
        <v>33</v>
      </c>
      <c r="E159">
        <v>467</v>
      </c>
      <c r="F159">
        <v>2.6</v>
      </c>
      <c r="G159">
        <v>10.76</v>
      </c>
      <c r="H159" t="s">
        <v>851</v>
      </c>
      <c r="I159">
        <v>4.4000000000000004</v>
      </c>
      <c r="J159" s="10">
        <v>46125</v>
      </c>
      <c r="K159" s="27">
        <v>46125.572824074072</v>
      </c>
    </row>
    <row r="160" spans="1:11" x14ac:dyDescent="0.25">
      <c r="A160">
        <v>159</v>
      </c>
      <c r="B160" t="s">
        <v>871</v>
      </c>
      <c r="C160" t="s">
        <v>133</v>
      </c>
      <c r="D160" t="s">
        <v>73</v>
      </c>
      <c r="E160">
        <v>167</v>
      </c>
      <c r="F160">
        <v>1.8</v>
      </c>
      <c r="G160">
        <v>9.31</v>
      </c>
      <c r="H160" t="s">
        <v>851</v>
      </c>
      <c r="I160">
        <v>4.3</v>
      </c>
      <c r="J160" s="10">
        <v>46125</v>
      </c>
      <c r="K160" s="27">
        <v>46125.573067129626</v>
      </c>
    </row>
    <row r="161" spans="1:11" x14ac:dyDescent="0.25">
      <c r="A161">
        <v>160</v>
      </c>
      <c r="B161" t="s">
        <v>872</v>
      </c>
      <c r="C161" t="s">
        <v>68</v>
      </c>
      <c r="D161" t="s">
        <v>33</v>
      </c>
      <c r="E161">
        <v>463</v>
      </c>
      <c r="F161">
        <v>6.4</v>
      </c>
      <c r="G161">
        <v>12.66</v>
      </c>
      <c r="H161" t="s">
        <v>851</v>
      </c>
      <c r="I161">
        <v>4.3</v>
      </c>
      <c r="J161" s="10">
        <v>46125</v>
      </c>
      <c r="K161" s="27">
        <v>46125.573125000003</v>
      </c>
    </row>
    <row r="162" spans="1:11" x14ac:dyDescent="0.25">
      <c r="A162">
        <v>161</v>
      </c>
      <c r="B162" t="s">
        <v>850</v>
      </c>
      <c r="C162" t="s">
        <v>57</v>
      </c>
      <c r="D162" t="s">
        <v>11</v>
      </c>
      <c r="E162">
        <v>247</v>
      </c>
      <c r="F162">
        <v>1.7</v>
      </c>
      <c r="G162">
        <v>21.58</v>
      </c>
      <c r="H162" t="s">
        <v>851</v>
      </c>
      <c r="I162">
        <v>4.3</v>
      </c>
      <c r="J162" s="10">
        <v>46125</v>
      </c>
      <c r="K162" s="27">
        <v>46125.581296296295</v>
      </c>
    </row>
    <row r="163" spans="1:11" x14ac:dyDescent="0.25">
      <c r="A163">
        <v>162</v>
      </c>
      <c r="B163" t="s">
        <v>852</v>
      </c>
      <c r="C163" t="s">
        <v>130</v>
      </c>
      <c r="D163" t="s">
        <v>15</v>
      </c>
      <c r="E163">
        <v>172</v>
      </c>
      <c r="F163">
        <v>5.3</v>
      </c>
      <c r="G163">
        <v>20.57</v>
      </c>
      <c r="H163" t="s">
        <v>851</v>
      </c>
      <c r="I163">
        <v>4.5</v>
      </c>
      <c r="J163" s="10">
        <v>46125</v>
      </c>
      <c r="K163" s="27">
        <v>46125.581574074073</v>
      </c>
    </row>
    <row r="164" spans="1:11" x14ac:dyDescent="0.25">
      <c r="A164">
        <v>163</v>
      </c>
      <c r="B164" t="s">
        <v>854</v>
      </c>
      <c r="C164" t="s">
        <v>130</v>
      </c>
      <c r="D164" t="s">
        <v>15</v>
      </c>
      <c r="E164">
        <v>447</v>
      </c>
      <c r="F164">
        <v>5.9</v>
      </c>
      <c r="G164">
        <v>15.28</v>
      </c>
      <c r="H164" t="s">
        <v>851</v>
      </c>
      <c r="I164">
        <v>4.5</v>
      </c>
      <c r="J164" s="10">
        <v>46125</v>
      </c>
      <c r="K164" s="27">
        <v>46125.58184027778</v>
      </c>
    </row>
    <row r="165" spans="1:11" x14ac:dyDescent="0.25">
      <c r="A165">
        <v>164</v>
      </c>
      <c r="B165" t="s">
        <v>855</v>
      </c>
      <c r="C165" t="s">
        <v>472</v>
      </c>
      <c r="D165" t="s">
        <v>45</v>
      </c>
      <c r="E165">
        <v>325</v>
      </c>
      <c r="F165">
        <v>3.1</v>
      </c>
      <c r="G165">
        <v>16.07</v>
      </c>
      <c r="H165" t="s">
        <v>851</v>
      </c>
      <c r="I165">
        <v>4.3</v>
      </c>
      <c r="J165" s="10">
        <v>46125</v>
      </c>
      <c r="K165" s="27">
        <v>46125.581956018519</v>
      </c>
    </row>
    <row r="166" spans="1:11" x14ac:dyDescent="0.25">
      <c r="A166">
        <v>165</v>
      </c>
      <c r="B166" t="s">
        <v>856</v>
      </c>
      <c r="C166" t="s">
        <v>30</v>
      </c>
      <c r="D166" t="s">
        <v>11</v>
      </c>
      <c r="E166">
        <v>324</v>
      </c>
      <c r="F166">
        <v>2.1</v>
      </c>
      <c r="G166">
        <v>21.41</v>
      </c>
      <c r="H166" t="s">
        <v>851</v>
      </c>
      <c r="I166">
        <v>4.8</v>
      </c>
      <c r="J166" s="10">
        <v>46125</v>
      </c>
      <c r="K166" s="27">
        <v>46125.582152777781</v>
      </c>
    </row>
    <row r="167" spans="1:11" x14ac:dyDescent="0.25">
      <c r="A167">
        <v>166</v>
      </c>
      <c r="B167" t="s">
        <v>857</v>
      </c>
      <c r="C167" t="s">
        <v>16</v>
      </c>
      <c r="D167" t="s">
        <v>33</v>
      </c>
      <c r="E167">
        <v>462</v>
      </c>
      <c r="F167">
        <v>5.3</v>
      </c>
      <c r="G167">
        <v>9.36</v>
      </c>
      <c r="H167" t="s">
        <v>851</v>
      </c>
      <c r="I167">
        <v>4.4000000000000004</v>
      </c>
      <c r="J167" s="10">
        <v>46125</v>
      </c>
      <c r="K167" s="27">
        <v>46125.582361111112</v>
      </c>
    </row>
    <row r="168" spans="1:11" x14ac:dyDescent="0.25">
      <c r="A168">
        <v>167</v>
      </c>
      <c r="B168" t="s">
        <v>858</v>
      </c>
      <c r="C168" t="s">
        <v>133</v>
      </c>
      <c r="D168" t="s">
        <v>73</v>
      </c>
      <c r="E168">
        <v>403</v>
      </c>
      <c r="F168">
        <v>4.9000000000000004</v>
      </c>
      <c r="G168">
        <v>16.670000000000002</v>
      </c>
      <c r="H168" t="s">
        <v>851</v>
      </c>
      <c r="I168">
        <v>3.2</v>
      </c>
      <c r="J168" s="10">
        <v>46125</v>
      </c>
      <c r="K168" s="27">
        <v>46125.582650462966</v>
      </c>
    </row>
    <row r="169" spans="1:11" x14ac:dyDescent="0.25">
      <c r="A169">
        <v>168</v>
      </c>
      <c r="B169" t="s">
        <v>859</v>
      </c>
      <c r="C169" t="s">
        <v>42</v>
      </c>
      <c r="D169" t="s">
        <v>20</v>
      </c>
      <c r="E169">
        <v>469</v>
      </c>
      <c r="F169">
        <v>5.5</v>
      </c>
      <c r="G169">
        <v>9.44</v>
      </c>
      <c r="H169" t="s">
        <v>851</v>
      </c>
      <c r="I169">
        <v>3.4</v>
      </c>
      <c r="J169" s="10">
        <v>46125</v>
      </c>
      <c r="K169" s="27">
        <v>46125.582789351851</v>
      </c>
    </row>
    <row r="170" spans="1:11" x14ac:dyDescent="0.25">
      <c r="A170">
        <v>169</v>
      </c>
      <c r="B170" t="s">
        <v>860</v>
      </c>
      <c r="C170" t="s">
        <v>36</v>
      </c>
      <c r="D170" t="s">
        <v>29</v>
      </c>
      <c r="E170">
        <v>247</v>
      </c>
      <c r="F170">
        <v>5.7</v>
      </c>
      <c r="G170">
        <v>14.73</v>
      </c>
      <c r="H170" t="s">
        <v>851</v>
      </c>
      <c r="I170">
        <v>3.5</v>
      </c>
      <c r="J170" s="10">
        <v>46125</v>
      </c>
      <c r="K170" s="27">
        <v>46125.583032407405</v>
      </c>
    </row>
    <row r="171" spans="1:11" x14ac:dyDescent="0.25">
      <c r="A171">
        <v>170</v>
      </c>
      <c r="B171" t="s">
        <v>861</v>
      </c>
      <c r="C171" t="s">
        <v>46</v>
      </c>
      <c r="D171" t="s">
        <v>15</v>
      </c>
      <c r="E171">
        <v>273</v>
      </c>
      <c r="F171">
        <v>3.9</v>
      </c>
      <c r="G171">
        <v>11.71</v>
      </c>
      <c r="H171" t="s">
        <v>851</v>
      </c>
      <c r="I171">
        <v>4.0999999999999996</v>
      </c>
      <c r="J171" s="10">
        <v>46125</v>
      </c>
      <c r="K171" s="27">
        <v>46125.583321759259</v>
      </c>
    </row>
    <row r="172" spans="1:11" x14ac:dyDescent="0.25">
      <c r="A172">
        <v>171</v>
      </c>
      <c r="B172" t="s">
        <v>862</v>
      </c>
      <c r="C172" t="s">
        <v>76</v>
      </c>
      <c r="D172" t="s">
        <v>11</v>
      </c>
      <c r="E172">
        <v>264</v>
      </c>
      <c r="F172">
        <v>2.2000000000000002</v>
      </c>
      <c r="G172">
        <v>19.010000000000002</v>
      </c>
      <c r="H172" t="s">
        <v>851</v>
      </c>
      <c r="I172">
        <v>3.4</v>
      </c>
      <c r="J172" s="10">
        <v>46125</v>
      </c>
      <c r="K172" s="27">
        <v>46125.583564814813</v>
      </c>
    </row>
    <row r="173" spans="1:11" x14ac:dyDescent="0.25">
      <c r="A173">
        <v>172</v>
      </c>
      <c r="B173" t="s">
        <v>863</v>
      </c>
      <c r="C173" t="s">
        <v>65</v>
      </c>
      <c r="D173" t="s">
        <v>33</v>
      </c>
      <c r="E173">
        <v>340</v>
      </c>
      <c r="F173">
        <v>3</v>
      </c>
      <c r="G173">
        <v>19.45</v>
      </c>
      <c r="H173" t="s">
        <v>851</v>
      </c>
      <c r="I173">
        <v>4.4000000000000004</v>
      </c>
      <c r="J173" s="10">
        <v>46125</v>
      </c>
      <c r="K173" s="27">
        <v>46125.583854166667</v>
      </c>
    </row>
    <row r="174" spans="1:11" x14ac:dyDescent="0.25">
      <c r="A174">
        <v>173</v>
      </c>
      <c r="B174" t="s">
        <v>864</v>
      </c>
      <c r="C174" t="s">
        <v>68</v>
      </c>
      <c r="D174" t="s">
        <v>33</v>
      </c>
      <c r="E174">
        <v>341</v>
      </c>
      <c r="F174">
        <v>5.7</v>
      </c>
      <c r="G174">
        <v>22.51</v>
      </c>
      <c r="H174" t="s">
        <v>851</v>
      </c>
      <c r="I174">
        <v>3.4</v>
      </c>
      <c r="J174" s="10">
        <v>46125</v>
      </c>
      <c r="K174" s="27">
        <v>46125.583969907406</v>
      </c>
    </row>
    <row r="175" spans="1:11" x14ac:dyDescent="0.25">
      <c r="A175">
        <v>174</v>
      </c>
      <c r="B175" t="s">
        <v>865</v>
      </c>
      <c r="C175" t="s">
        <v>12</v>
      </c>
      <c r="D175" t="s">
        <v>45</v>
      </c>
      <c r="E175">
        <v>414</v>
      </c>
      <c r="F175">
        <v>2.2000000000000002</v>
      </c>
      <c r="G175">
        <v>13.79</v>
      </c>
      <c r="H175" t="s">
        <v>851</v>
      </c>
      <c r="I175">
        <v>5</v>
      </c>
      <c r="J175" s="10">
        <v>46125</v>
      </c>
      <c r="K175" s="27">
        <v>46125.584236111114</v>
      </c>
    </row>
    <row r="176" spans="1:11" x14ac:dyDescent="0.25">
      <c r="A176">
        <v>175</v>
      </c>
      <c r="B176" t="s">
        <v>866</v>
      </c>
      <c r="C176" t="s">
        <v>51</v>
      </c>
      <c r="D176" t="s">
        <v>11</v>
      </c>
      <c r="E176">
        <v>155</v>
      </c>
      <c r="F176">
        <v>6.4</v>
      </c>
      <c r="G176">
        <v>5.93</v>
      </c>
      <c r="H176" t="s">
        <v>851</v>
      </c>
      <c r="I176">
        <v>4.4000000000000004</v>
      </c>
      <c r="J176" s="10">
        <v>46125</v>
      </c>
      <c r="K176" s="27">
        <v>46125.58452546296</v>
      </c>
    </row>
    <row r="177" spans="1:11" x14ac:dyDescent="0.25">
      <c r="A177">
        <v>176</v>
      </c>
      <c r="B177" t="s">
        <v>867</v>
      </c>
      <c r="C177" t="s">
        <v>80</v>
      </c>
      <c r="D177" t="s">
        <v>11</v>
      </c>
      <c r="E177">
        <v>444</v>
      </c>
      <c r="F177">
        <v>2.2000000000000002</v>
      </c>
      <c r="G177">
        <v>7.22</v>
      </c>
      <c r="H177" t="s">
        <v>851</v>
      </c>
      <c r="I177">
        <v>4</v>
      </c>
      <c r="J177" s="10">
        <v>46125</v>
      </c>
      <c r="K177" s="27">
        <v>46125.584664351853</v>
      </c>
    </row>
    <row r="178" spans="1:11" x14ac:dyDescent="0.25">
      <c r="A178">
        <v>177</v>
      </c>
      <c r="B178" t="s">
        <v>868</v>
      </c>
      <c r="C178" t="s">
        <v>869</v>
      </c>
      <c r="D178" t="s">
        <v>11</v>
      </c>
      <c r="E178">
        <v>459</v>
      </c>
      <c r="F178">
        <v>6.8</v>
      </c>
      <c r="G178">
        <v>19.399999999999999</v>
      </c>
      <c r="H178" t="s">
        <v>851</v>
      </c>
      <c r="I178">
        <v>5</v>
      </c>
      <c r="J178" s="10">
        <v>46125</v>
      </c>
      <c r="K178" s="27">
        <v>46125.584768518522</v>
      </c>
    </row>
    <row r="179" spans="1:11" x14ac:dyDescent="0.25">
      <c r="A179">
        <v>178</v>
      </c>
      <c r="B179" t="s">
        <v>870</v>
      </c>
      <c r="C179" t="s">
        <v>68</v>
      </c>
      <c r="D179" t="s">
        <v>33</v>
      </c>
      <c r="E179">
        <v>428</v>
      </c>
      <c r="F179">
        <v>1.7</v>
      </c>
      <c r="G179">
        <v>5.9</v>
      </c>
      <c r="H179" t="s">
        <v>851</v>
      </c>
      <c r="I179">
        <v>3.7</v>
      </c>
      <c r="J179" s="10">
        <v>46125</v>
      </c>
      <c r="K179" s="27">
        <v>46125.584872685184</v>
      </c>
    </row>
    <row r="180" spans="1:11" x14ac:dyDescent="0.25">
      <c r="A180">
        <v>179</v>
      </c>
      <c r="B180" t="s">
        <v>871</v>
      </c>
      <c r="C180" t="s">
        <v>133</v>
      </c>
      <c r="D180" t="s">
        <v>73</v>
      </c>
      <c r="E180">
        <v>387</v>
      </c>
      <c r="F180">
        <v>5</v>
      </c>
      <c r="G180">
        <v>23.25</v>
      </c>
      <c r="H180" t="s">
        <v>853</v>
      </c>
      <c r="I180">
        <v>4.5999999999999996</v>
      </c>
      <c r="J180" s="10">
        <v>46125</v>
      </c>
      <c r="K180" s="27">
        <v>46125.584930555553</v>
      </c>
    </row>
    <row r="181" spans="1:11" x14ac:dyDescent="0.25">
      <c r="A181">
        <v>180</v>
      </c>
      <c r="B181" t="s">
        <v>872</v>
      </c>
      <c r="C181" t="s">
        <v>68</v>
      </c>
      <c r="D181" t="s">
        <v>33</v>
      </c>
      <c r="E181">
        <v>484</v>
      </c>
      <c r="F181">
        <v>5.4</v>
      </c>
      <c r="G181">
        <v>5.71</v>
      </c>
      <c r="H181" t="s">
        <v>851</v>
      </c>
      <c r="I181">
        <v>4.9000000000000004</v>
      </c>
      <c r="J181" s="10">
        <v>46125</v>
      </c>
      <c r="K181" s="27">
        <v>46125.58520833333</v>
      </c>
    </row>
    <row r="182" spans="1:11" x14ac:dyDescent="0.25">
      <c r="A182">
        <v>181</v>
      </c>
      <c r="B182" t="s">
        <v>850</v>
      </c>
      <c r="C182" t="s">
        <v>57</v>
      </c>
      <c r="D182" t="s">
        <v>11</v>
      </c>
      <c r="E182">
        <v>343</v>
      </c>
      <c r="F182">
        <v>5.9</v>
      </c>
      <c r="G182">
        <v>10.96</v>
      </c>
      <c r="H182" t="s">
        <v>851</v>
      </c>
      <c r="I182">
        <v>3.3</v>
      </c>
      <c r="J182" s="10">
        <v>46125</v>
      </c>
      <c r="K182" s="27">
        <v>46125.595925925925</v>
      </c>
    </row>
    <row r="183" spans="1:11" x14ac:dyDescent="0.25">
      <c r="A183">
        <v>182</v>
      </c>
      <c r="B183" t="s">
        <v>852</v>
      </c>
      <c r="C183" t="s">
        <v>130</v>
      </c>
      <c r="D183" t="s">
        <v>15</v>
      </c>
      <c r="E183">
        <v>251</v>
      </c>
      <c r="F183">
        <v>4</v>
      </c>
      <c r="G183">
        <v>18.309999999999999</v>
      </c>
      <c r="H183" t="s">
        <v>851</v>
      </c>
      <c r="I183">
        <v>4.8</v>
      </c>
      <c r="J183" s="10">
        <v>46125</v>
      </c>
      <c r="K183" s="27">
        <v>46125.596053240741</v>
      </c>
    </row>
    <row r="184" spans="1:11" x14ac:dyDescent="0.25">
      <c r="A184">
        <v>183</v>
      </c>
      <c r="B184" t="s">
        <v>854</v>
      </c>
      <c r="C184" t="s">
        <v>130</v>
      </c>
      <c r="D184" t="s">
        <v>15</v>
      </c>
      <c r="E184">
        <v>338</v>
      </c>
      <c r="F184">
        <v>2.9</v>
      </c>
      <c r="G184">
        <v>8.52</v>
      </c>
      <c r="H184" t="s">
        <v>851</v>
      </c>
      <c r="I184">
        <v>4.5</v>
      </c>
      <c r="J184" s="10">
        <v>46125</v>
      </c>
      <c r="K184" s="27">
        <v>46125.596122685187</v>
      </c>
    </row>
    <row r="185" spans="1:11" x14ac:dyDescent="0.25">
      <c r="A185">
        <v>184</v>
      </c>
      <c r="B185" t="s">
        <v>855</v>
      </c>
      <c r="C185" t="s">
        <v>472</v>
      </c>
      <c r="D185" t="s">
        <v>45</v>
      </c>
      <c r="E185">
        <v>271</v>
      </c>
      <c r="F185">
        <v>5.7</v>
      </c>
      <c r="G185">
        <v>9.69</v>
      </c>
      <c r="H185" t="s">
        <v>851</v>
      </c>
      <c r="I185">
        <v>4</v>
      </c>
      <c r="J185" s="10">
        <v>46125</v>
      </c>
      <c r="K185" s="27">
        <v>46125.596250000002</v>
      </c>
    </row>
    <row r="186" spans="1:11" x14ac:dyDescent="0.25">
      <c r="A186">
        <v>185</v>
      </c>
      <c r="B186" t="s">
        <v>856</v>
      </c>
      <c r="C186" t="s">
        <v>30</v>
      </c>
      <c r="D186" t="s">
        <v>11</v>
      </c>
      <c r="E186">
        <v>448</v>
      </c>
      <c r="F186">
        <v>3.2</v>
      </c>
      <c r="G186">
        <v>8.66</v>
      </c>
      <c r="H186" t="s">
        <v>851</v>
      </c>
      <c r="I186">
        <v>3.2</v>
      </c>
      <c r="J186" s="10">
        <v>46125</v>
      </c>
      <c r="K186" s="27">
        <v>46125.59652777778</v>
      </c>
    </row>
    <row r="187" spans="1:11" x14ac:dyDescent="0.25">
      <c r="A187">
        <v>186</v>
      </c>
      <c r="B187" t="s">
        <v>857</v>
      </c>
      <c r="C187" t="s">
        <v>16</v>
      </c>
      <c r="D187" t="s">
        <v>33</v>
      </c>
      <c r="E187">
        <v>164</v>
      </c>
      <c r="F187">
        <v>6.6</v>
      </c>
      <c r="G187">
        <v>15.53</v>
      </c>
      <c r="H187" t="s">
        <v>851</v>
      </c>
      <c r="I187">
        <v>3.2</v>
      </c>
      <c r="J187" s="10">
        <v>46125</v>
      </c>
      <c r="K187" s="27">
        <v>46125.596689814818</v>
      </c>
    </row>
    <row r="188" spans="1:11" x14ac:dyDescent="0.25">
      <c r="A188">
        <v>187</v>
      </c>
      <c r="B188" t="s">
        <v>858</v>
      </c>
      <c r="C188" t="s">
        <v>133</v>
      </c>
      <c r="D188" t="s">
        <v>73</v>
      </c>
      <c r="E188">
        <v>252</v>
      </c>
      <c r="F188">
        <v>1.9</v>
      </c>
      <c r="G188">
        <v>5.46</v>
      </c>
      <c r="H188" t="s">
        <v>851</v>
      </c>
      <c r="I188">
        <v>4.3</v>
      </c>
      <c r="J188" s="10">
        <v>46125</v>
      </c>
      <c r="K188" s="27">
        <v>46125.596932870372</v>
      </c>
    </row>
    <row r="189" spans="1:11" x14ac:dyDescent="0.25">
      <c r="A189">
        <v>188</v>
      </c>
      <c r="B189" t="s">
        <v>859</v>
      </c>
      <c r="C189" t="s">
        <v>42</v>
      </c>
      <c r="D189" t="s">
        <v>20</v>
      </c>
      <c r="E189">
        <v>227</v>
      </c>
      <c r="F189">
        <v>5.7</v>
      </c>
      <c r="G189">
        <v>16.079999999999998</v>
      </c>
      <c r="H189" t="s">
        <v>851</v>
      </c>
      <c r="I189">
        <v>4.9000000000000004</v>
      </c>
      <c r="J189" s="10">
        <v>46125</v>
      </c>
      <c r="K189" s="27">
        <v>46125.597037037034</v>
      </c>
    </row>
    <row r="190" spans="1:11" x14ac:dyDescent="0.25">
      <c r="A190">
        <v>189</v>
      </c>
      <c r="B190" t="s">
        <v>860</v>
      </c>
      <c r="C190" t="s">
        <v>36</v>
      </c>
      <c r="D190" t="s">
        <v>29</v>
      </c>
      <c r="E190">
        <v>189</v>
      </c>
      <c r="F190">
        <v>3.1</v>
      </c>
      <c r="G190">
        <v>13.18</v>
      </c>
      <c r="H190" t="s">
        <v>851</v>
      </c>
      <c r="I190">
        <v>3.9</v>
      </c>
      <c r="J190" s="10">
        <v>46125</v>
      </c>
      <c r="K190" s="27">
        <v>46125.597314814811</v>
      </c>
    </row>
    <row r="191" spans="1:11" x14ac:dyDescent="0.25">
      <c r="A191">
        <v>190</v>
      </c>
      <c r="B191" t="s">
        <v>861</v>
      </c>
      <c r="C191" t="s">
        <v>46</v>
      </c>
      <c r="D191" t="s">
        <v>15</v>
      </c>
      <c r="E191">
        <v>112</v>
      </c>
      <c r="F191">
        <v>3.3</v>
      </c>
      <c r="G191">
        <v>24.73</v>
      </c>
      <c r="H191" t="s">
        <v>851</v>
      </c>
      <c r="I191">
        <v>4.2</v>
      </c>
      <c r="J191" s="10">
        <v>46125</v>
      </c>
      <c r="K191" s="27">
        <v>46125.59752314815</v>
      </c>
    </row>
    <row r="192" spans="1:11" x14ac:dyDescent="0.25">
      <c r="A192">
        <v>191</v>
      </c>
      <c r="B192" t="s">
        <v>862</v>
      </c>
      <c r="C192" t="s">
        <v>76</v>
      </c>
      <c r="D192" t="s">
        <v>11</v>
      </c>
      <c r="E192">
        <v>495</v>
      </c>
      <c r="F192">
        <v>4.3</v>
      </c>
      <c r="G192">
        <v>19.71</v>
      </c>
      <c r="H192" t="s">
        <v>851</v>
      </c>
      <c r="I192">
        <v>3.9</v>
      </c>
      <c r="J192" s="10">
        <v>46125</v>
      </c>
      <c r="K192" s="27">
        <v>46125.597627314812</v>
      </c>
    </row>
    <row r="193" spans="1:11" x14ac:dyDescent="0.25">
      <c r="A193">
        <v>192</v>
      </c>
      <c r="B193" t="s">
        <v>863</v>
      </c>
      <c r="C193" t="s">
        <v>65</v>
      </c>
      <c r="D193" t="s">
        <v>33</v>
      </c>
      <c r="E193">
        <v>471</v>
      </c>
      <c r="F193">
        <v>4.5999999999999996</v>
      </c>
      <c r="G193">
        <v>24.86</v>
      </c>
      <c r="H193" t="s">
        <v>851</v>
      </c>
      <c r="I193">
        <v>3.8</v>
      </c>
      <c r="J193" s="10">
        <v>46125</v>
      </c>
      <c r="K193" s="27">
        <v>46125.597800925927</v>
      </c>
    </row>
    <row r="194" spans="1:11" x14ac:dyDescent="0.25">
      <c r="A194">
        <v>193</v>
      </c>
      <c r="B194" t="s">
        <v>864</v>
      </c>
      <c r="C194" t="s">
        <v>68</v>
      </c>
      <c r="D194" t="s">
        <v>33</v>
      </c>
      <c r="E194">
        <v>349</v>
      </c>
      <c r="F194">
        <v>3.7</v>
      </c>
      <c r="G194">
        <v>10.3</v>
      </c>
      <c r="H194" t="s">
        <v>851</v>
      </c>
      <c r="I194">
        <v>5</v>
      </c>
      <c r="J194" s="10">
        <v>46125</v>
      </c>
      <c r="K194" s="27">
        <v>46125.598067129627</v>
      </c>
    </row>
    <row r="195" spans="1:11" x14ac:dyDescent="0.25">
      <c r="A195">
        <v>194</v>
      </c>
      <c r="B195" t="s">
        <v>865</v>
      </c>
      <c r="C195" t="s">
        <v>12</v>
      </c>
      <c r="D195" t="s">
        <v>45</v>
      </c>
      <c r="E195">
        <v>367</v>
      </c>
      <c r="F195">
        <v>2.5</v>
      </c>
      <c r="G195">
        <v>21.67</v>
      </c>
      <c r="H195" t="s">
        <v>851</v>
      </c>
      <c r="I195">
        <v>3</v>
      </c>
      <c r="J195" s="10">
        <v>46125</v>
      </c>
      <c r="K195" s="27">
        <v>46125.598298611112</v>
      </c>
    </row>
    <row r="196" spans="1:11" x14ac:dyDescent="0.25">
      <c r="A196">
        <v>195</v>
      </c>
      <c r="B196" t="s">
        <v>866</v>
      </c>
      <c r="C196" t="s">
        <v>51</v>
      </c>
      <c r="D196" t="s">
        <v>11</v>
      </c>
      <c r="E196">
        <v>261</v>
      </c>
      <c r="F196">
        <v>3.8</v>
      </c>
      <c r="G196">
        <v>20.2</v>
      </c>
      <c r="H196" t="s">
        <v>851</v>
      </c>
      <c r="I196">
        <v>4.9000000000000004</v>
      </c>
      <c r="J196" s="10">
        <v>46125</v>
      </c>
      <c r="K196" s="27">
        <v>46125.598587962966</v>
      </c>
    </row>
    <row r="197" spans="1:11" x14ac:dyDescent="0.25">
      <c r="A197">
        <v>196</v>
      </c>
      <c r="B197" t="s">
        <v>867</v>
      </c>
      <c r="C197" t="s">
        <v>80</v>
      </c>
      <c r="D197" t="s">
        <v>11</v>
      </c>
      <c r="E197">
        <v>356</v>
      </c>
      <c r="F197">
        <v>4</v>
      </c>
      <c r="G197">
        <v>7.4</v>
      </c>
      <c r="H197" t="s">
        <v>851</v>
      </c>
      <c r="I197">
        <v>3.9</v>
      </c>
      <c r="J197" s="10">
        <v>46125</v>
      </c>
      <c r="K197" s="27">
        <v>46125.598680555559</v>
      </c>
    </row>
    <row r="198" spans="1:11" x14ac:dyDescent="0.25">
      <c r="A198">
        <v>197</v>
      </c>
      <c r="B198" t="s">
        <v>868</v>
      </c>
      <c r="C198" t="s">
        <v>869</v>
      </c>
      <c r="D198" t="s">
        <v>11</v>
      </c>
      <c r="E198">
        <v>476</v>
      </c>
      <c r="F198">
        <v>5.6</v>
      </c>
      <c r="G198">
        <v>17.41</v>
      </c>
      <c r="H198" t="s">
        <v>851</v>
      </c>
      <c r="I198">
        <v>3.7</v>
      </c>
      <c r="J198" s="10">
        <v>46125</v>
      </c>
      <c r="K198" s="27">
        <v>46125.598749999997</v>
      </c>
    </row>
    <row r="199" spans="1:11" x14ac:dyDescent="0.25">
      <c r="A199">
        <v>198</v>
      </c>
      <c r="B199" t="s">
        <v>870</v>
      </c>
      <c r="C199" t="s">
        <v>68</v>
      </c>
      <c r="D199" t="s">
        <v>33</v>
      </c>
      <c r="E199">
        <v>169</v>
      </c>
      <c r="F199">
        <v>3.8</v>
      </c>
      <c r="G199">
        <v>12.71</v>
      </c>
      <c r="H199" t="s">
        <v>851</v>
      </c>
      <c r="I199">
        <v>4.0999999999999996</v>
      </c>
      <c r="J199" s="10">
        <v>46125</v>
      </c>
      <c r="K199" s="27">
        <v>46125.599027777775</v>
      </c>
    </row>
    <row r="200" spans="1:11" x14ac:dyDescent="0.25">
      <c r="A200">
        <v>199</v>
      </c>
      <c r="B200" t="s">
        <v>871</v>
      </c>
      <c r="C200" t="s">
        <v>133</v>
      </c>
      <c r="D200" t="s">
        <v>73</v>
      </c>
      <c r="E200">
        <v>397</v>
      </c>
      <c r="F200">
        <v>6.2</v>
      </c>
      <c r="G200">
        <v>19.05</v>
      </c>
      <c r="H200" t="s">
        <v>851</v>
      </c>
      <c r="I200">
        <v>4</v>
      </c>
      <c r="J200" s="10">
        <v>46125</v>
      </c>
      <c r="K200" s="27">
        <v>46125.599143518521</v>
      </c>
    </row>
    <row r="201" spans="1:11" x14ac:dyDescent="0.25">
      <c r="A201">
        <v>200</v>
      </c>
      <c r="B201" t="s">
        <v>872</v>
      </c>
      <c r="C201" t="s">
        <v>68</v>
      </c>
      <c r="D201" t="s">
        <v>33</v>
      </c>
      <c r="E201">
        <v>151</v>
      </c>
      <c r="F201">
        <v>6</v>
      </c>
      <c r="G201">
        <v>14.87</v>
      </c>
      <c r="H201" t="s">
        <v>851</v>
      </c>
      <c r="I201">
        <v>3.2</v>
      </c>
      <c r="J201" s="10">
        <v>46125</v>
      </c>
      <c r="K201" s="27">
        <v>46125.599432870367</v>
      </c>
    </row>
    <row r="202" spans="1:11" x14ac:dyDescent="0.25">
      <c r="A202">
        <v>201</v>
      </c>
      <c r="B202" t="s">
        <v>850</v>
      </c>
      <c r="C202" t="s">
        <v>57</v>
      </c>
      <c r="D202" t="s">
        <v>11</v>
      </c>
      <c r="E202">
        <v>151</v>
      </c>
      <c r="F202">
        <v>5.4</v>
      </c>
      <c r="G202">
        <v>17.84</v>
      </c>
      <c r="H202" t="s">
        <v>851</v>
      </c>
      <c r="I202">
        <v>3.3</v>
      </c>
      <c r="J202" s="10">
        <v>46128</v>
      </c>
      <c r="K202" s="27">
        <v>46128.666296296295</v>
      </c>
    </row>
    <row r="203" spans="1:11" x14ac:dyDescent="0.25">
      <c r="A203">
        <v>202</v>
      </c>
      <c r="B203" t="s">
        <v>852</v>
      </c>
      <c r="C203" t="s">
        <v>130</v>
      </c>
      <c r="D203" t="s">
        <v>15</v>
      </c>
      <c r="E203">
        <v>218</v>
      </c>
      <c r="F203">
        <v>4.4000000000000004</v>
      </c>
      <c r="G203">
        <v>8.35</v>
      </c>
      <c r="H203" t="s">
        <v>851</v>
      </c>
      <c r="I203">
        <v>4.4000000000000004</v>
      </c>
      <c r="J203" s="10">
        <v>46128</v>
      </c>
      <c r="K203" s="27">
        <v>46128.666527777779</v>
      </c>
    </row>
    <row r="204" spans="1:11" x14ac:dyDescent="0.25">
      <c r="A204">
        <v>203</v>
      </c>
      <c r="B204" t="s">
        <v>854</v>
      </c>
      <c r="C204" t="s">
        <v>130</v>
      </c>
      <c r="D204" t="s">
        <v>15</v>
      </c>
      <c r="E204">
        <v>227</v>
      </c>
      <c r="F204">
        <v>5</v>
      </c>
      <c r="G204">
        <v>5.82</v>
      </c>
      <c r="H204" t="s">
        <v>851</v>
      </c>
      <c r="I204">
        <v>4.5999999999999996</v>
      </c>
      <c r="J204" s="10">
        <v>46128</v>
      </c>
      <c r="K204" s="27">
        <v>46128.666643518518</v>
      </c>
    </row>
    <row r="205" spans="1:11" x14ac:dyDescent="0.25">
      <c r="A205">
        <v>204</v>
      </c>
      <c r="B205" t="s">
        <v>855</v>
      </c>
      <c r="C205" t="s">
        <v>472</v>
      </c>
      <c r="D205" t="s">
        <v>45</v>
      </c>
      <c r="E205">
        <v>410</v>
      </c>
      <c r="F205">
        <v>3.3</v>
      </c>
      <c r="G205">
        <v>19.899999999999999</v>
      </c>
      <c r="H205" t="s">
        <v>851</v>
      </c>
      <c r="I205">
        <v>4.8</v>
      </c>
      <c r="J205" s="10">
        <v>46128</v>
      </c>
      <c r="K205" s="27">
        <v>46128.666712962964</v>
      </c>
    </row>
    <row r="206" spans="1:11" x14ac:dyDescent="0.25">
      <c r="A206">
        <v>205</v>
      </c>
      <c r="B206" t="s">
        <v>856</v>
      </c>
      <c r="C206" t="s">
        <v>30</v>
      </c>
      <c r="D206" t="s">
        <v>11</v>
      </c>
      <c r="E206">
        <v>293</v>
      </c>
      <c r="F206">
        <v>6.5</v>
      </c>
      <c r="G206">
        <v>14.83</v>
      </c>
      <c r="H206" t="s">
        <v>853</v>
      </c>
      <c r="I206">
        <v>4.7</v>
      </c>
      <c r="J206" s="10">
        <v>46128</v>
      </c>
      <c r="K206" s="27">
        <v>46128.666851851849</v>
      </c>
    </row>
    <row r="207" spans="1:11" x14ac:dyDescent="0.25">
      <c r="A207">
        <v>206</v>
      </c>
      <c r="B207" t="s">
        <v>857</v>
      </c>
      <c r="C207" t="s">
        <v>16</v>
      </c>
      <c r="D207" t="s">
        <v>33</v>
      </c>
      <c r="E207">
        <v>469</v>
      </c>
      <c r="F207">
        <v>6.4</v>
      </c>
      <c r="G207">
        <v>17.53</v>
      </c>
      <c r="H207" t="s">
        <v>851</v>
      </c>
      <c r="I207">
        <v>4.5</v>
      </c>
      <c r="J207" s="10">
        <v>46128</v>
      </c>
      <c r="K207" s="27">
        <v>46128.666956018518</v>
      </c>
    </row>
    <row r="208" spans="1:11" x14ac:dyDescent="0.25">
      <c r="A208">
        <v>207</v>
      </c>
      <c r="B208" t="s">
        <v>858</v>
      </c>
      <c r="C208" t="s">
        <v>133</v>
      </c>
      <c r="D208" t="s">
        <v>73</v>
      </c>
      <c r="E208">
        <v>279</v>
      </c>
      <c r="F208">
        <v>4.9000000000000004</v>
      </c>
      <c r="G208">
        <v>21.55</v>
      </c>
      <c r="H208" t="s">
        <v>851</v>
      </c>
      <c r="I208">
        <v>3.9</v>
      </c>
      <c r="J208" s="10">
        <v>46128</v>
      </c>
      <c r="K208" s="27">
        <v>46128.667199074072</v>
      </c>
    </row>
    <row r="209" spans="1:11" x14ac:dyDescent="0.25">
      <c r="A209">
        <v>208</v>
      </c>
      <c r="B209" t="s">
        <v>859</v>
      </c>
      <c r="C209" t="s">
        <v>42</v>
      </c>
      <c r="D209" t="s">
        <v>20</v>
      </c>
      <c r="E209">
        <v>179</v>
      </c>
      <c r="F209">
        <v>2.4</v>
      </c>
      <c r="G209">
        <v>24.16</v>
      </c>
      <c r="H209" t="s">
        <v>851</v>
      </c>
      <c r="I209">
        <v>3.6</v>
      </c>
      <c r="J209" s="10">
        <v>46128</v>
      </c>
      <c r="K209" s="27">
        <v>46128.667349537034</v>
      </c>
    </row>
    <row r="210" spans="1:11" x14ac:dyDescent="0.25">
      <c r="A210">
        <v>209</v>
      </c>
      <c r="B210" t="s">
        <v>860</v>
      </c>
      <c r="C210" t="s">
        <v>36</v>
      </c>
      <c r="D210" t="s">
        <v>29</v>
      </c>
      <c r="E210">
        <v>107</v>
      </c>
      <c r="F210">
        <v>6.4</v>
      </c>
      <c r="G210">
        <v>13.48</v>
      </c>
      <c r="H210" t="s">
        <v>851</v>
      </c>
      <c r="I210">
        <v>4.4000000000000004</v>
      </c>
      <c r="J210" s="10">
        <v>46128</v>
      </c>
      <c r="K210" s="27">
        <v>46128.667627314811</v>
      </c>
    </row>
    <row r="211" spans="1:11" x14ac:dyDescent="0.25">
      <c r="A211">
        <v>210</v>
      </c>
      <c r="B211" t="s">
        <v>861</v>
      </c>
      <c r="C211" t="s">
        <v>46</v>
      </c>
      <c r="D211" t="s">
        <v>15</v>
      </c>
      <c r="E211">
        <v>495</v>
      </c>
      <c r="F211">
        <v>2.9</v>
      </c>
      <c r="G211">
        <v>18.87</v>
      </c>
      <c r="H211" t="s">
        <v>851</v>
      </c>
      <c r="I211">
        <v>4.9000000000000004</v>
      </c>
      <c r="J211" s="10">
        <v>46128</v>
      </c>
      <c r="K211" s="27">
        <v>46128.667800925927</v>
      </c>
    </row>
    <row r="212" spans="1:11" x14ac:dyDescent="0.25">
      <c r="A212">
        <v>211</v>
      </c>
      <c r="B212" t="s">
        <v>862</v>
      </c>
      <c r="C212" t="s">
        <v>76</v>
      </c>
      <c r="D212" t="s">
        <v>11</v>
      </c>
      <c r="E212">
        <v>136</v>
      </c>
      <c r="F212">
        <v>1.6</v>
      </c>
      <c r="G212">
        <v>13.45</v>
      </c>
      <c r="H212" t="s">
        <v>853</v>
      </c>
      <c r="I212">
        <v>3.5</v>
      </c>
      <c r="J212" s="10">
        <v>46128</v>
      </c>
      <c r="K212" s="27">
        <v>46128.668020833335</v>
      </c>
    </row>
    <row r="213" spans="1:11" x14ac:dyDescent="0.25">
      <c r="A213">
        <v>212</v>
      </c>
      <c r="B213" t="s">
        <v>863</v>
      </c>
      <c r="C213" t="s">
        <v>65</v>
      </c>
      <c r="D213" t="s">
        <v>33</v>
      </c>
      <c r="E213">
        <v>186</v>
      </c>
      <c r="F213">
        <v>5.7</v>
      </c>
      <c r="G213">
        <v>7.66</v>
      </c>
      <c r="H213" t="s">
        <v>851</v>
      </c>
      <c r="I213">
        <v>3.4</v>
      </c>
      <c r="J213" s="10">
        <v>46128</v>
      </c>
      <c r="K213" s="27">
        <v>46128.668171296296</v>
      </c>
    </row>
    <row r="214" spans="1:11" x14ac:dyDescent="0.25">
      <c r="A214">
        <v>213</v>
      </c>
      <c r="B214" t="s">
        <v>864</v>
      </c>
      <c r="C214" t="s">
        <v>68</v>
      </c>
      <c r="D214" t="s">
        <v>33</v>
      </c>
      <c r="E214">
        <v>307</v>
      </c>
      <c r="F214">
        <v>5.5</v>
      </c>
      <c r="G214">
        <v>19.75</v>
      </c>
      <c r="H214" t="s">
        <v>853</v>
      </c>
      <c r="I214">
        <v>4.8</v>
      </c>
      <c r="J214" s="10">
        <v>46128</v>
      </c>
      <c r="K214" s="27">
        <v>46128.668275462966</v>
      </c>
    </row>
    <row r="215" spans="1:11" x14ac:dyDescent="0.25">
      <c r="A215">
        <v>214</v>
      </c>
      <c r="B215" t="s">
        <v>865</v>
      </c>
      <c r="C215" t="s">
        <v>12</v>
      </c>
      <c r="D215" t="s">
        <v>45</v>
      </c>
      <c r="E215">
        <v>405</v>
      </c>
      <c r="F215">
        <v>5.5</v>
      </c>
      <c r="G215">
        <v>15.36</v>
      </c>
      <c r="H215" t="s">
        <v>851</v>
      </c>
      <c r="I215">
        <v>4.2</v>
      </c>
      <c r="J215" s="10">
        <v>46128</v>
      </c>
      <c r="K215" s="27">
        <v>46128.668368055558</v>
      </c>
    </row>
    <row r="216" spans="1:11" x14ac:dyDescent="0.25">
      <c r="A216">
        <v>215</v>
      </c>
      <c r="B216" t="s">
        <v>866</v>
      </c>
      <c r="C216" t="s">
        <v>51</v>
      </c>
      <c r="D216" t="s">
        <v>11</v>
      </c>
      <c r="E216">
        <v>274</v>
      </c>
      <c r="F216">
        <v>2.2999999999999998</v>
      </c>
      <c r="G216">
        <v>16.420000000000002</v>
      </c>
      <c r="H216" t="s">
        <v>851</v>
      </c>
      <c r="I216">
        <v>3.1</v>
      </c>
      <c r="J216" s="10">
        <v>46128</v>
      </c>
      <c r="K216" s="27">
        <v>46128.66846064815</v>
      </c>
    </row>
    <row r="217" spans="1:11" x14ac:dyDescent="0.25">
      <c r="A217">
        <v>216</v>
      </c>
      <c r="B217" t="s">
        <v>867</v>
      </c>
      <c r="C217" t="s">
        <v>80</v>
      </c>
      <c r="D217" t="s">
        <v>11</v>
      </c>
      <c r="E217">
        <v>348</v>
      </c>
      <c r="F217">
        <v>6.1</v>
      </c>
      <c r="G217">
        <v>13.12</v>
      </c>
      <c r="H217" t="s">
        <v>851</v>
      </c>
      <c r="I217">
        <v>4.2</v>
      </c>
      <c r="J217" s="10">
        <v>46128</v>
      </c>
      <c r="K217" s="27">
        <v>46128.668680555558</v>
      </c>
    </row>
    <row r="218" spans="1:11" x14ac:dyDescent="0.25">
      <c r="A218">
        <v>217</v>
      </c>
      <c r="B218" t="s">
        <v>868</v>
      </c>
      <c r="C218" t="s">
        <v>869</v>
      </c>
      <c r="D218" t="s">
        <v>11</v>
      </c>
      <c r="E218">
        <v>144</v>
      </c>
      <c r="F218">
        <v>4.3</v>
      </c>
      <c r="G218">
        <v>6.48</v>
      </c>
      <c r="H218" t="s">
        <v>851</v>
      </c>
      <c r="I218">
        <v>4.9000000000000004</v>
      </c>
      <c r="J218" s="10">
        <v>46128</v>
      </c>
      <c r="K218" s="27">
        <v>46128.668946759259</v>
      </c>
    </row>
    <row r="219" spans="1:11" x14ac:dyDescent="0.25">
      <c r="A219">
        <v>218</v>
      </c>
      <c r="B219" t="s">
        <v>870</v>
      </c>
      <c r="C219" t="s">
        <v>68</v>
      </c>
      <c r="D219" t="s">
        <v>33</v>
      </c>
      <c r="E219">
        <v>375</v>
      </c>
      <c r="F219">
        <v>5.9</v>
      </c>
      <c r="G219">
        <v>16.32</v>
      </c>
      <c r="H219" t="s">
        <v>851</v>
      </c>
      <c r="I219">
        <v>4.8</v>
      </c>
      <c r="J219" s="10">
        <v>46128</v>
      </c>
      <c r="K219" s="27">
        <v>46128.669166666667</v>
      </c>
    </row>
    <row r="220" spans="1:11" x14ac:dyDescent="0.25">
      <c r="A220">
        <v>219</v>
      </c>
      <c r="B220" t="s">
        <v>871</v>
      </c>
      <c r="C220" t="s">
        <v>133</v>
      </c>
      <c r="D220" t="s">
        <v>73</v>
      </c>
      <c r="E220">
        <v>336</v>
      </c>
      <c r="F220">
        <v>2.6</v>
      </c>
      <c r="G220">
        <v>14.03</v>
      </c>
      <c r="H220" t="s">
        <v>851</v>
      </c>
      <c r="I220">
        <v>3.6</v>
      </c>
      <c r="J220" s="10">
        <v>46128</v>
      </c>
      <c r="K220" s="27">
        <v>46128.669444444444</v>
      </c>
    </row>
    <row r="221" spans="1:11" x14ac:dyDescent="0.25">
      <c r="A221">
        <v>220</v>
      </c>
      <c r="B221" t="s">
        <v>872</v>
      </c>
      <c r="C221" t="s">
        <v>68</v>
      </c>
      <c r="D221" t="s">
        <v>33</v>
      </c>
      <c r="E221">
        <v>119</v>
      </c>
      <c r="F221">
        <v>5.5</v>
      </c>
      <c r="G221">
        <v>11</v>
      </c>
      <c r="H221" t="s">
        <v>851</v>
      </c>
      <c r="I221">
        <v>3.8</v>
      </c>
      <c r="J221" s="10">
        <v>46128</v>
      </c>
      <c r="K221" s="27">
        <v>46128.669664351852</v>
      </c>
    </row>
    <row r="222" spans="1:11" x14ac:dyDescent="0.25">
      <c r="A222">
        <v>221</v>
      </c>
      <c r="B222" t="s">
        <v>850</v>
      </c>
      <c r="C222" t="s">
        <v>57</v>
      </c>
      <c r="D222" t="s">
        <v>11</v>
      </c>
      <c r="E222">
        <v>183</v>
      </c>
      <c r="F222">
        <v>5.8</v>
      </c>
      <c r="G222">
        <v>23.16</v>
      </c>
      <c r="H222" t="s">
        <v>851</v>
      </c>
      <c r="I222">
        <v>3.4</v>
      </c>
      <c r="J222" s="10">
        <v>46128</v>
      </c>
      <c r="K222" s="27">
        <v>46128.66982638889</v>
      </c>
    </row>
    <row r="223" spans="1:11" x14ac:dyDescent="0.25">
      <c r="A223">
        <v>222</v>
      </c>
      <c r="B223" t="s">
        <v>852</v>
      </c>
      <c r="C223" t="s">
        <v>130</v>
      </c>
      <c r="D223" t="s">
        <v>15</v>
      </c>
      <c r="E223">
        <v>367</v>
      </c>
      <c r="F223">
        <v>5.2</v>
      </c>
      <c r="G223">
        <v>11.76</v>
      </c>
      <c r="H223" t="s">
        <v>851</v>
      </c>
      <c r="I223">
        <v>4.4000000000000004</v>
      </c>
      <c r="J223" s="10">
        <v>46128</v>
      </c>
      <c r="K223" s="27">
        <v>46128.669895833336</v>
      </c>
    </row>
    <row r="224" spans="1:11" x14ac:dyDescent="0.25">
      <c r="A224">
        <v>223</v>
      </c>
      <c r="B224" t="s">
        <v>854</v>
      </c>
      <c r="C224" t="s">
        <v>130</v>
      </c>
      <c r="D224" t="s">
        <v>15</v>
      </c>
      <c r="E224">
        <v>296</v>
      </c>
      <c r="F224">
        <v>5.9</v>
      </c>
      <c r="G224">
        <v>6.33</v>
      </c>
      <c r="H224" t="s">
        <v>851</v>
      </c>
      <c r="I224">
        <v>3.8</v>
      </c>
      <c r="J224" s="10">
        <v>46128</v>
      </c>
      <c r="K224" s="27">
        <v>46128.670046296298</v>
      </c>
    </row>
    <row r="225" spans="1:11" x14ac:dyDescent="0.25">
      <c r="A225">
        <v>224</v>
      </c>
      <c r="B225" t="s">
        <v>855</v>
      </c>
      <c r="C225" t="s">
        <v>472</v>
      </c>
      <c r="D225" t="s">
        <v>45</v>
      </c>
      <c r="E225">
        <v>188</v>
      </c>
      <c r="F225">
        <v>5.4</v>
      </c>
      <c r="G225">
        <v>17.29</v>
      </c>
      <c r="H225" t="s">
        <v>851</v>
      </c>
      <c r="I225">
        <v>4.5</v>
      </c>
      <c r="J225" s="10">
        <v>46128</v>
      </c>
      <c r="K225" s="27">
        <v>46128.670127314814</v>
      </c>
    </row>
    <row r="226" spans="1:11" x14ac:dyDescent="0.25">
      <c r="A226">
        <v>225</v>
      </c>
      <c r="B226" t="s">
        <v>856</v>
      </c>
      <c r="C226" t="s">
        <v>30</v>
      </c>
      <c r="D226" t="s">
        <v>11</v>
      </c>
      <c r="E226">
        <v>320</v>
      </c>
      <c r="F226">
        <v>5.6</v>
      </c>
      <c r="G226">
        <v>15.91</v>
      </c>
      <c r="H226" t="s">
        <v>851</v>
      </c>
      <c r="I226">
        <v>3.1</v>
      </c>
      <c r="J226" s="10">
        <v>46128</v>
      </c>
      <c r="K226" s="27">
        <v>46128.670300925929</v>
      </c>
    </row>
    <row r="227" spans="1:11" x14ac:dyDescent="0.25">
      <c r="A227">
        <v>226</v>
      </c>
      <c r="B227" t="s">
        <v>857</v>
      </c>
      <c r="C227" t="s">
        <v>16</v>
      </c>
      <c r="D227" t="s">
        <v>33</v>
      </c>
      <c r="E227">
        <v>166</v>
      </c>
      <c r="F227">
        <v>3.5</v>
      </c>
      <c r="G227">
        <v>14.91</v>
      </c>
      <c r="H227" t="s">
        <v>853</v>
      </c>
      <c r="I227">
        <v>4</v>
      </c>
      <c r="J227" s="10">
        <v>46128</v>
      </c>
      <c r="K227" s="27">
        <v>46128.670405092591</v>
      </c>
    </row>
    <row r="228" spans="1:11" x14ac:dyDescent="0.25">
      <c r="A228">
        <v>227</v>
      </c>
      <c r="B228" t="s">
        <v>858</v>
      </c>
      <c r="C228" t="s">
        <v>133</v>
      </c>
      <c r="D228" t="s">
        <v>73</v>
      </c>
      <c r="E228">
        <v>423</v>
      </c>
      <c r="F228">
        <v>3.7</v>
      </c>
      <c r="G228">
        <v>10.71</v>
      </c>
      <c r="H228" t="s">
        <v>853</v>
      </c>
      <c r="I228">
        <v>3.6</v>
      </c>
      <c r="J228" s="10">
        <v>46128</v>
      </c>
      <c r="K228" s="27">
        <v>46128.670578703706</v>
      </c>
    </row>
    <row r="229" spans="1:11" x14ac:dyDescent="0.25">
      <c r="A229">
        <v>228</v>
      </c>
      <c r="B229" t="s">
        <v>859</v>
      </c>
      <c r="C229" t="s">
        <v>42</v>
      </c>
      <c r="D229" t="s">
        <v>20</v>
      </c>
      <c r="E229">
        <v>232</v>
      </c>
      <c r="F229">
        <v>5.2</v>
      </c>
      <c r="G229">
        <v>21.01</v>
      </c>
      <c r="H229" t="s">
        <v>851</v>
      </c>
      <c r="I229">
        <v>3.1</v>
      </c>
      <c r="J229" s="10">
        <v>46128</v>
      </c>
      <c r="K229" s="27">
        <v>46128.67083333333</v>
      </c>
    </row>
    <row r="230" spans="1:11" x14ac:dyDescent="0.25">
      <c r="A230">
        <v>229</v>
      </c>
      <c r="B230" t="s">
        <v>860</v>
      </c>
      <c r="C230" t="s">
        <v>36</v>
      </c>
      <c r="D230" t="s">
        <v>29</v>
      </c>
      <c r="E230">
        <v>211</v>
      </c>
      <c r="F230">
        <v>3.7</v>
      </c>
      <c r="G230">
        <v>9.49</v>
      </c>
      <c r="H230" t="s">
        <v>853</v>
      </c>
      <c r="I230">
        <v>4.9000000000000004</v>
      </c>
      <c r="J230" s="10">
        <v>46128</v>
      </c>
      <c r="K230" s="27">
        <v>46128.671064814815</v>
      </c>
    </row>
    <row r="231" spans="1:11" x14ac:dyDescent="0.25">
      <c r="A231">
        <v>230</v>
      </c>
      <c r="B231" t="s">
        <v>861</v>
      </c>
      <c r="C231" t="s">
        <v>46</v>
      </c>
      <c r="D231" t="s">
        <v>15</v>
      </c>
      <c r="E231">
        <v>465</v>
      </c>
      <c r="F231">
        <v>5</v>
      </c>
      <c r="G231">
        <v>20.25</v>
      </c>
      <c r="H231" t="s">
        <v>851</v>
      </c>
      <c r="I231">
        <v>3.4</v>
      </c>
      <c r="J231" s="10">
        <v>46128</v>
      </c>
      <c r="K231" s="27">
        <v>46128.671238425923</v>
      </c>
    </row>
    <row r="232" spans="1:11" x14ac:dyDescent="0.25">
      <c r="A232">
        <v>231</v>
      </c>
      <c r="B232" t="s">
        <v>862</v>
      </c>
      <c r="C232" t="s">
        <v>76</v>
      </c>
      <c r="D232" t="s">
        <v>11</v>
      </c>
      <c r="E232">
        <v>123</v>
      </c>
      <c r="F232">
        <v>3.8</v>
      </c>
      <c r="G232">
        <v>11.37</v>
      </c>
      <c r="H232" t="s">
        <v>851</v>
      </c>
      <c r="I232">
        <v>3.4</v>
      </c>
      <c r="J232" s="10">
        <v>46128</v>
      </c>
      <c r="K232" s="27">
        <v>46128.671307870369</v>
      </c>
    </row>
    <row r="233" spans="1:11" x14ac:dyDescent="0.25">
      <c r="A233">
        <v>232</v>
      </c>
      <c r="B233" t="s">
        <v>863</v>
      </c>
      <c r="C233" t="s">
        <v>65</v>
      </c>
      <c r="D233" t="s">
        <v>33</v>
      </c>
      <c r="E233">
        <v>398</v>
      </c>
      <c r="F233">
        <v>4.9000000000000004</v>
      </c>
      <c r="G233">
        <v>11.32</v>
      </c>
      <c r="H233" t="s">
        <v>851</v>
      </c>
      <c r="I233">
        <v>4.8</v>
      </c>
      <c r="J233" s="10">
        <v>46128</v>
      </c>
      <c r="K233" s="27">
        <v>46128.671550925923</v>
      </c>
    </row>
    <row r="234" spans="1:11" x14ac:dyDescent="0.25">
      <c r="A234">
        <v>233</v>
      </c>
      <c r="B234" t="s">
        <v>864</v>
      </c>
      <c r="C234" t="s">
        <v>68</v>
      </c>
      <c r="D234" t="s">
        <v>33</v>
      </c>
      <c r="E234">
        <v>439</v>
      </c>
      <c r="F234">
        <v>5.6</v>
      </c>
      <c r="G234">
        <v>17.87</v>
      </c>
      <c r="H234" t="s">
        <v>851</v>
      </c>
      <c r="I234">
        <v>5</v>
      </c>
      <c r="J234" s="10">
        <v>46128</v>
      </c>
      <c r="K234" s="27">
        <v>46128.671643518515</v>
      </c>
    </row>
    <row r="235" spans="1:11" x14ac:dyDescent="0.25">
      <c r="A235">
        <v>234</v>
      </c>
      <c r="B235" t="s">
        <v>865</v>
      </c>
      <c r="C235" t="s">
        <v>12</v>
      </c>
      <c r="D235" t="s">
        <v>45</v>
      </c>
      <c r="E235">
        <v>379</v>
      </c>
      <c r="F235">
        <v>3.4</v>
      </c>
      <c r="G235">
        <v>22.88</v>
      </c>
      <c r="H235" t="s">
        <v>851</v>
      </c>
      <c r="I235">
        <v>4.9000000000000004</v>
      </c>
      <c r="J235" s="10">
        <v>46128</v>
      </c>
      <c r="K235" s="27">
        <v>46128.671817129631</v>
      </c>
    </row>
    <row r="236" spans="1:11" x14ac:dyDescent="0.25">
      <c r="A236">
        <v>235</v>
      </c>
      <c r="B236" t="s">
        <v>866</v>
      </c>
      <c r="C236" t="s">
        <v>51</v>
      </c>
      <c r="D236" t="s">
        <v>11</v>
      </c>
      <c r="E236">
        <v>333</v>
      </c>
      <c r="F236">
        <v>4</v>
      </c>
      <c r="G236">
        <v>10.89</v>
      </c>
      <c r="H236" t="s">
        <v>853</v>
      </c>
      <c r="I236">
        <v>4.4000000000000004</v>
      </c>
      <c r="J236" s="10">
        <v>46128</v>
      </c>
      <c r="K236" s="27">
        <v>46128.672071759262</v>
      </c>
    </row>
    <row r="237" spans="1:11" x14ac:dyDescent="0.25">
      <c r="A237">
        <v>236</v>
      </c>
      <c r="B237" t="s">
        <v>867</v>
      </c>
      <c r="C237" t="s">
        <v>80</v>
      </c>
      <c r="D237" t="s">
        <v>11</v>
      </c>
      <c r="E237">
        <v>129</v>
      </c>
      <c r="F237">
        <v>2.5</v>
      </c>
      <c r="G237">
        <v>17.579999999999998</v>
      </c>
      <c r="H237" t="s">
        <v>851</v>
      </c>
      <c r="I237">
        <v>3.6</v>
      </c>
      <c r="J237" s="10">
        <v>46128</v>
      </c>
      <c r="K237" s="27">
        <v>46128.672337962962</v>
      </c>
    </row>
    <row r="238" spans="1:11" x14ac:dyDescent="0.25">
      <c r="A238">
        <v>237</v>
      </c>
      <c r="B238" t="s">
        <v>868</v>
      </c>
      <c r="C238" t="s">
        <v>869</v>
      </c>
      <c r="D238" t="s">
        <v>11</v>
      </c>
      <c r="E238">
        <v>367</v>
      </c>
      <c r="F238">
        <v>3.9</v>
      </c>
      <c r="G238">
        <v>15.87</v>
      </c>
      <c r="H238" t="s">
        <v>851</v>
      </c>
      <c r="I238">
        <v>4.5</v>
      </c>
      <c r="J238" s="10">
        <v>46128</v>
      </c>
      <c r="K238" s="27">
        <v>46128.672534722224</v>
      </c>
    </row>
    <row r="239" spans="1:11" x14ac:dyDescent="0.25">
      <c r="A239">
        <v>238</v>
      </c>
      <c r="B239" t="s">
        <v>870</v>
      </c>
      <c r="C239" t="s">
        <v>68</v>
      </c>
      <c r="D239" t="s">
        <v>33</v>
      </c>
      <c r="E239">
        <v>471</v>
      </c>
      <c r="F239">
        <v>3.5</v>
      </c>
      <c r="G239">
        <v>9.66</v>
      </c>
      <c r="H239" t="s">
        <v>851</v>
      </c>
      <c r="I239">
        <v>4.5</v>
      </c>
      <c r="J239" s="10">
        <v>46128</v>
      </c>
      <c r="K239" s="27">
        <v>46128.672789351855</v>
      </c>
    </row>
    <row r="240" spans="1:11" x14ac:dyDescent="0.25">
      <c r="A240">
        <v>239</v>
      </c>
      <c r="B240" t="s">
        <v>871</v>
      </c>
      <c r="C240" t="s">
        <v>133</v>
      </c>
      <c r="D240" t="s">
        <v>73</v>
      </c>
      <c r="E240">
        <v>204</v>
      </c>
      <c r="F240">
        <v>1.7</v>
      </c>
      <c r="G240">
        <v>11.19</v>
      </c>
      <c r="H240" t="s">
        <v>853</v>
      </c>
      <c r="I240">
        <v>4.9000000000000004</v>
      </c>
      <c r="J240" s="10">
        <v>46128</v>
      </c>
      <c r="K240" s="27">
        <v>46128.672893518517</v>
      </c>
    </row>
    <row r="241" spans="1:11" x14ac:dyDescent="0.25">
      <c r="A241">
        <v>240</v>
      </c>
      <c r="B241" t="s">
        <v>872</v>
      </c>
      <c r="C241" t="s">
        <v>68</v>
      </c>
      <c r="D241" t="s">
        <v>33</v>
      </c>
      <c r="E241">
        <v>269</v>
      </c>
      <c r="F241">
        <v>4.9000000000000004</v>
      </c>
      <c r="G241">
        <v>12.28</v>
      </c>
      <c r="H241" t="s">
        <v>851</v>
      </c>
      <c r="I241">
        <v>4.2</v>
      </c>
      <c r="J241" s="10">
        <v>46128</v>
      </c>
      <c r="K241" s="27">
        <v>46128.673136574071</v>
      </c>
    </row>
    <row r="242" spans="1:11" x14ac:dyDescent="0.25">
      <c r="A242">
        <v>241</v>
      </c>
      <c r="B242" t="s">
        <v>850</v>
      </c>
      <c r="C242" t="s">
        <v>57</v>
      </c>
      <c r="D242" t="s">
        <v>11</v>
      </c>
      <c r="E242">
        <v>150</v>
      </c>
      <c r="F242">
        <v>3.2</v>
      </c>
      <c r="G242">
        <v>22.64</v>
      </c>
      <c r="H242" t="s">
        <v>851</v>
      </c>
      <c r="I242">
        <v>4</v>
      </c>
      <c r="J242" s="10">
        <v>46128</v>
      </c>
      <c r="K242" s="27">
        <v>46128.686435185184</v>
      </c>
    </row>
    <row r="243" spans="1:11" x14ac:dyDescent="0.25">
      <c r="A243">
        <v>242</v>
      </c>
      <c r="B243" t="s">
        <v>852</v>
      </c>
      <c r="C243" t="s">
        <v>130</v>
      </c>
      <c r="D243" t="s">
        <v>15</v>
      </c>
      <c r="E243">
        <v>113</v>
      </c>
      <c r="F243">
        <v>2.7</v>
      </c>
      <c r="G243">
        <v>10.210000000000001</v>
      </c>
      <c r="H243" t="s">
        <v>851</v>
      </c>
      <c r="I243">
        <v>3.4</v>
      </c>
      <c r="J243" s="10">
        <v>46128</v>
      </c>
      <c r="K243" s="27">
        <v>46128.68650462963</v>
      </c>
    </row>
    <row r="244" spans="1:11" x14ac:dyDescent="0.25">
      <c r="A244">
        <v>243</v>
      </c>
      <c r="B244" t="s">
        <v>854</v>
      </c>
      <c r="C244" t="s">
        <v>130</v>
      </c>
      <c r="D244" t="s">
        <v>15</v>
      </c>
      <c r="E244">
        <v>452</v>
      </c>
      <c r="F244">
        <v>5.0999999999999996</v>
      </c>
      <c r="G244">
        <v>19.440000000000001</v>
      </c>
      <c r="H244" t="s">
        <v>851</v>
      </c>
      <c r="I244">
        <v>4.5</v>
      </c>
      <c r="J244" s="10">
        <v>46128</v>
      </c>
      <c r="K244" s="27">
        <v>46128.686782407407</v>
      </c>
    </row>
    <row r="245" spans="1:11" x14ac:dyDescent="0.25">
      <c r="A245">
        <v>244</v>
      </c>
      <c r="B245" t="s">
        <v>855</v>
      </c>
      <c r="C245" t="s">
        <v>472</v>
      </c>
      <c r="D245" t="s">
        <v>45</v>
      </c>
      <c r="E245">
        <v>438</v>
      </c>
      <c r="F245">
        <v>5.0999999999999996</v>
      </c>
      <c r="G245">
        <v>11.59</v>
      </c>
      <c r="H245" t="s">
        <v>851</v>
      </c>
      <c r="I245">
        <v>3.5</v>
      </c>
      <c r="J245" s="10">
        <v>46128</v>
      </c>
      <c r="K245" s="27">
        <v>46128.686886574076</v>
      </c>
    </row>
    <row r="246" spans="1:11" x14ac:dyDescent="0.25">
      <c r="A246">
        <v>245</v>
      </c>
      <c r="B246" t="s">
        <v>856</v>
      </c>
      <c r="C246" t="s">
        <v>30</v>
      </c>
      <c r="D246" t="s">
        <v>11</v>
      </c>
      <c r="E246">
        <v>376</v>
      </c>
      <c r="F246">
        <v>3.4</v>
      </c>
      <c r="G246">
        <v>7.06</v>
      </c>
      <c r="H246" t="s">
        <v>851</v>
      </c>
      <c r="I246">
        <v>4.5999999999999996</v>
      </c>
      <c r="J246" s="10">
        <v>46128</v>
      </c>
      <c r="K246" s="27">
        <v>46128.687071759261</v>
      </c>
    </row>
    <row r="247" spans="1:11" x14ac:dyDescent="0.25">
      <c r="A247">
        <v>246</v>
      </c>
      <c r="B247" t="s">
        <v>857</v>
      </c>
      <c r="C247" t="s">
        <v>16</v>
      </c>
      <c r="D247" t="s">
        <v>33</v>
      </c>
      <c r="E247">
        <v>370</v>
      </c>
      <c r="F247">
        <v>3.7</v>
      </c>
      <c r="G247">
        <v>13.92</v>
      </c>
      <c r="H247" t="s">
        <v>851</v>
      </c>
      <c r="I247">
        <v>3.2</v>
      </c>
      <c r="J247" s="10">
        <v>46128</v>
      </c>
      <c r="K247" s="27">
        <v>46128.687326388892</v>
      </c>
    </row>
    <row r="248" spans="1:11" x14ac:dyDescent="0.25">
      <c r="A248">
        <v>247</v>
      </c>
      <c r="B248" t="s">
        <v>858</v>
      </c>
      <c r="C248" t="s">
        <v>133</v>
      </c>
      <c r="D248" t="s">
        <v>73</v>
      </c>
      <c r="E248">
        <v>399</v>
      </c>
      <c r="F248">
        <v>4.5999999999999996</v>
      </c>
      <c r="G248">
        <v>15.66</v>
      </c>
      <c r="H248" t="s">
        <v>851</v>
      </c>
      <c r="I248">
        <v>4.3</v>
      </c>
      <c r="J248" s="10">
        <v>46128</v>
      </c>
      <c r="K248" s="27">
        <v>46128.687557870369</v>
      </c>
    </row>
    <row r="249" spans="1:11" x14ac:dyDescent="0.25">
      <c r="A249">
        <v>248</v>
      </c>
      <c r="B249" t="s">
        <v>859</v>
      </c>
      <c r="C249" t="s">
        <v>42</v>
      </c>
      <c r="D249" t="s">
        <v>20</v>
      </c>
      <c r="E249">
        <v>440</v>
      </c>
      <c r="F249">
        <v>4.9000000000000004</v>
      </c>
      <c r="G249">
        <v>24.69</v>
      </c>
      <c r="H249" t="s">
        <v>851</v>
      </c>
      <c r="I249">
        <v>4.0999999999999996</v>
      </c>
      <c r="J249" s="10">
        <v>46128</v>
      </c>
      <c r="K249" s="27">
        <v>46128.687777777777</v>
      </c>
    </row>
    <row r="250" spans="1:11" x14ac:dyDescent="0.25">
      <c r="A250">
        <v>249</v>
      </c>
      <c r="B250" t="s">
        <v>860</v>
      </c>
      <c r="C250" t="s">
        <v>36</v>
      </c>
      <c r="D250" t="s">
        <v>29</v>
      </c>
      <c r="E250">
        <v>457</v>
      </c>
      <c r="F250">
        <v>6.4</v>
      </c>
      <c r="G250">
        <v>19.64</v>
      </c>
      <c r="H250" t="s">
        <v>851</v>
      </c>
      <c r="I250">
        <v>3.9</v>
      </c>
      <c r="J250" s="10">
        <v>46128</v>
      </c>
      <c r="K250" s="27">
        <v>46128.687997685185</v>
      </c>
    </row>
    <row r="251" spans="1:11" x14ac:dyDescent="0.25">
      <c r="A251">
        <v>250</v>
      </c>
      <c r="B251" t="s">
        <v>861</v>
      </c>
      <c r="C251" t="s">
        <v>46</v>
      </c>
      <c r="D251" t="s">
        <v>15</v>
      </c>
      <c r="E251">
        <v>153</v>
      </c>
      <c r="F251">
        <v>4.0999999999999996</v>
      </c>
      <c r="G251">
        <v>10.4</v>
      </c>
      <c r="H251" t="s">
        <v>851</v>
      </c>
      <c r="I251">
        <v>3.6</v>
      </c>
      <c r="J251" s="10">
        <v>46128</v>
      </c>
      <c r="K251" s="27">
        <v>46128.688240740739</v>
      </c>
    </row>
    <row r="252" spans="1:11" x14ac:dyDescent="0.25">
      <c r="A252">
        <v>251</v>
      </c>
      <c r="B252" t="s">
        <v>862</v>
      </c>
      <c r="C252" t="s">
        <v>76</v>
      </c>
      <c r="D252" t="s">
        <v>11</v>
      </c>
      <c r="E252">
        <v>114</v>
      </c>
      <c r="F252">
        <v>5.9</v>
      </c>
      <c r="G252">
        <v>20.95</v>
      </c>
      <c r="H252" t="s">
        <v>851</v>
      </c>
      <c r="I252">
        <v>3.2</v>
      </c>
      <c r="J252" s="10">
        <v>46128</v>
      </c>
      <c r="K252" s="27">
        <v>46128.68849537037</v>
      </c>
    </row>
    <row r="253" spans="1:11" x14ac:dyDescent="0.25">
      <c r="A253">
        <v>252</v>
      </c>
      <c r="B253" t="s">
        <v>863</v>
      </c>
      <c r="C253" t="s">
        <v>65</v>
      </c>
      <c r="D253" t="s">
        <v>33</v>
      </c>
      <c r="E253">
        <v>258</v>
      </c>
      <c r="F253">
        <v>2.6</v>
      </c>
      <c r="G253">
        <v>15.63</v>
      </c>
      <c r="H253" t="s">
        <v>851</v>
      </c>
      <c r="I253">
        <v>4.5</v>
      </c>
      <c r="J253" s="10">
        <v>46128</v>
      </c>
      <c r="K253" s="27">
        <v>46128.688634259262</v>
      </c>
    </row>
    <row r="254" spans="1:11" x14ac:dyDescent="0.25">
      <c r="A254">
        <v>253</v>
      </c>
      <c r="B254" t="s">
        <v>864</v>
      </c>
      <c r="C254" t="s">
        <v>68</v>
      </c>
      <c r="D254" t="s">
        <v>33</v>
      </c>
      <c r="E254">
        <v>437</v>
      </c>
      <c r="F254">
        <v>6.7</v>
      </c>
      <c r="G254">
        <v>19.149999999999999</v>
      </c>
      <c r="H254" t="s">
        <v>851</v>
      </c>
      <c r="I254">
        <v>3.7</v>
      </c>
      <c r="J254" s="10">
        <v>46128</v>
      </c>
      <c r="K254" s="27">
        <v>46128.688703703701</v>
      </c>
    </row>
    <row r="255" spans="1:11" x14ac:dyDescent="0.25">
      <c r="A255">
        <v>254</v>
      </c>
      <c r="B255" t="s">
        <v>865</v>
      </c>
      <c r="C255" t="s">
        <v>12</v>
      </c>
      <c r="D255" t="s">
        <v>45</v>
      </c>
      <c r="E255">
        <v>357</v>
      </c>
      <c r="F255">
        <v>4.9000000000000004</v>
      </c>
      <c r="G255">
        <v>9.32</v>
      </c>
      <c r="H255" t="s">
        <v>851</v>
      </c>
      <c r="I255">
        <v>4.8</v>
      </c>
      <c r="J255" s="10">
        <v>46128</v>
      </c>
      <c r="K255" s="27">
        <v>46128.688993055555</v>
      </c>
    </row>
    <row r="256" spans="1:11" x14ac:dyDescent="0.25">
      <c r="A256">
        <v>255</v>
      </c>
      <c r="B256" t="s">
        <v>866</v>
      </c>
      <c r="C256" t="s">
        <v>51</v>
      </c>
      <c r="D256" t="s">
        <v>11</v>
      </c>
      <c r="E256">
        <v>170</v>
      </c>
      <c r="F256">
        <v>6.1</v>
      </c>
      <c r="G256">
        <v>17.260000000000002</v>
      </c>
      <c r="H256" t="s">
        <v>851</v>
      </c>
      <c r="I256">
        <v>3.9</v>
      </c>
      <c r="J256" s="10">
        <v>46128</v>
      </c>
      <c r="K256" s="27">
        <v>46128.689189814817</v>
      </c>
    </row>
    <row r="257" spans="1:11" x14ac:dyDescent="0.25">
      <c r="A257">
        <v>256</v>
      </c>
      <c r="B257" t="s">
        <v>867</v>
      </c>
      <c r="C257" t="s">
        <v>80</v>
      </c>
      <c r="D257" t="s">
        <v>11</v>
      </c>
      <c r="E257">
        <v>251</v>
      </c>
      <c r="F257">
        <v>5.4</v>
      </c>
      <c r="G257">
        <v>9.7200000000000006</v>
      </c>
      <c r="H257" t="s">
        <v>851</v>
      </c>
      <c r="I257">
        <v>3.5</v>
      </c>
      <c r="J257" s="10">
        <v>46128</v>
      </c>
      <c r="K257" s="27">
        <v>46128.689409722225</v>
      </c>
    </row>
    <row r="258" spans="1:11" x14ac:dyDescent="0.25">
      <c r="A258">
        <v>257</v>
      </c>
      <c r="B258" t="s">
        <v>868</v>
      </c>
      <c r="C258" t="s">
        <v>869</v>
      </c>
      <c r="D258" t="s">
        <v>11</v>
      </c>
      <c r="E258">
        <v>153</v>
      </c>
      <c r="F258">
        <v>4.0999999999999996</v>
      </c>
      <c r="G258">
        <v>24.26</v>
      </c>
      <c r="H258" t="s">
        <v>851</v>
      </c>
      <c r="I258">
        <v>3.9</v>
      </c>
      <c r="J258" s="10">
        <v>46128</v>
      </c>
      <c r="K258" s="27">
        <v>46128.689560185187</v>
      </c>
    </row>
    <row r="259" spans="1:11" x14ac:dyDescent="0.25">
      <c r="A259">
        <v>258</v>
      </c>
      <c r="B259" t="s">
        <v>870</v>
      </c>
      <c r="C259" t="s">
        <v>68</v>
      </c>
      <c r="D259" t="s">
        <v>33</v>
      </c>
      <c r="E259">
        <v>239</v>
      </c>
      <c r="F259">
        <v>3.5</v>
      </c>
      <c r="G259">
        <v>17.91</v>
      </c>
      <c r="H259" t="s">
        <v>851</v>
      </c>
      <c r="I259">
        <v>3.5</v>
      </c>
      <c r="J259" s="10">
        <v>46128</v>
      </c>
      <c r="K259" s="27">
        <v>46128.689699074072</v>
      </c>
    </row>
    <row r="260" spans="1:11" x14ac:dyDescent="0.25">
      <c r="A260">
        <v>259</v>
      </c>
      <c r="B260" t="s">
        <v>871</v>
      </c>
      <c r="C260" t="s">
        <v>133</v>
      </c>
      <c r="D260" t="s">
        <v>73</v>
      </c>
      <c r="E260">
        <v>441</v>
      </c>
      <c r="F260">
        <v>3.9</v>
      </c>
      <c r="G260">
        <v>15.93</v>
      </c>
      <c r="H260" t="s">
        <v>851</v>
      </c>
      <c r="I260">
        <v>3.6</v>
      </c>
      <c r="J260" s="10">
        <v>46128</v>
      </c>
      <c r="K260" s="27">
        <v>46128.689849537041</v>
      </c>
    </row>
    <row r="261" spans="1:11" x14ac:dyDescent="0.25">
      <c r="A261">
        <v>260</v>
      </c>
      <c r="B261" t="s">
        <v>872</v>
      </c>
      <c r="C261" t="s">
        <v>68</v>
      </c>
      <c r="D261" t="s">
        <v>33</v>
      </c>
      <c r="E261">
        <v>155</v>
      </c>
      <c r="F261">
        <v>7</v>
      </c>
      <c r="G261">
        <v>8.4499999999999993</v>
      </c>
      <c r="H261" t="s">
        <v>851</v>
      </c>
      <c r="I261">
        <v>4.5999999999999996</v>
      </c>
      <c r="J261" s="10">
        <v>46128</v>
      </c>
      <c r="K261" s="27">
        <v>46128.68990740741</v>
      </c>
    </row>
    <row r="262" spans="1:11" x14ac:dyDescent="0.25">
      <c r="A262">
        <v>261</v>
      </c>
      <c r="B262" t="s">
        <v>850</v>
      </c>
      <c r="C262" t="s">
        <v>57</v>
      </c>
      <c r="D262" t="s">
        <v>11</v>
      </c>
      <c r="E262">
        <v>224</v>
      </c>
      <c r="F262">
        <v>1.6</v>
      </c>
      <c r="G262">
        <v>5.5</v>
      </c>
      <c r="H262" t="s">
        <v>851</v>
      </c>
      <c r="I262">
        <v>3.1</v>
      </c>
      <c r="J262" s="10">
        <v>46208</v>
      </c>
      <c r="K262" s="27">
        <v>46208.463564814818</v>
      </c>
    </row>
    <row r="263" spans="1:11" x14ac:dyDescent="0.25">
      <c r="A263">
        <v>262</v>
      </c>
      <c r="B263" t="s">
        <v>852</v>
      </c>
      <c r="C263" t="s">
        <v>130</v>
      </c>
      <c r="D263" t="s">
        <v>15</v>
      </c>
      <c r="E263">
        <v>141</v>
      </c>
      <c r="F263">
        <v>3.8</v>
      </c>
      <c r="G263">
        <v>23.14</v>
      </c>
      <c r="H263" t="s">
        <v>851</v>
      </c>
      <c r="I263">
        <v>3.2</v>
      </c>
      <c r="J263" s="10">
        <v>46208</v>
      </c>
      <c r="K263" s="27">
        <v>46208.463784722226</v>
      </c>
    </row>
    <row r="264" spans="1:11" x14ac:dyDescent="0.25">
      <c r="A264">
        <v>263</v>
      </c>
      <c r="B264" t="s">
        <v>854</v>
      </c>
      <c r="C264" t="s">
        <v>130</v>
      </c>
      <c r="D264" t="s">
        <v>15</v>
      </c>
      <c r="E264">
        <v>453</v>
      </c>
      <c r="F264">
        <v>1.7</v>
      </c>
      <c r="G264">
        <v>10.130000000000001</v>
      </c>
      <c r="H264" t="s">
        <v>851</v>
      </c>
      <c r="I264">
        <v>3.8</v>
      </c>
      <c r="J264" s="10">
        <v>46208</v>
      </c>
      <c r="K264" s="27">
        <v>46208.463842592595</v>
      </c>
    </row>
    <row r="265" spans="1:11" x14ac:dyDescent="0.25">
      <c r="A265">
        <v>264</v>
      </c>
      <c r="B265" t="s">
        <v>855</v>
      </c>
      <c r="C265" t="s">
        <v>472</v>
      </c>
      <c r="D265" t="s">
        <v>45</v>
      </c>
      <c r="E265">
        <v>172</v>
      </c>
      <c r="F265">
        <v>5.4</v>
      </c>
      <c r="G265">
        <v>15.55</v>
      </c>
      <c r="H265" t="s">
        <v>851</v>
      </c>
      <c r="I265">
        <v>4.5999999999999996</v>
      </c>
      <c r="J265" s="10">
        <v>46208</v>
      </c>
      <c r="K265" s="27">
        <v>46208.46398148148</v>
      </c>
    </row>
    <row r="266" spans="1:11" x14ac:dyDescent="0.25">
      <c r="A266">
        <v>265</v>
      </c>
      <c r="B266" t="s">
        <v>856</v>
      </c>
      <c r="C266" t="s">
        <v>30</v>
      </c>
      <c r="D266" t="s">
        <v>11</v>
      </c>
      <c r="E266">
        <v>426</v>
      </c>
      <c r="F266">
        <v>5.6</v>
      </c>
      <c r="G266">
        <v>6.93</v>
      </c>
      <c r="H266" t="s">
        <v>851</v>
      </c>
      <c r="I266">
        <v>4.8</v>
      </c>
      <c r="J266" s="10">
        <v>46208</v>
      </c>
      <c r="K266" s="27">
        <v>46208.464166666665</v>
      </c>
    </row>
    <row r="267" spans="1:11" x14ac:dyDescent="0.25">
      <c r="A267">
        <v>266</v>
      </c>
      <c r="B267" t="s">
        <v>857</v>
      </c>
      <c r="C267" t="s">
        <v>16</v>
      </c>
      <c r="D267" t="s">
        <v>33</v>
      </c>
      <c r="E267">
        <v>207</v>
      </c>
      <c r="F267">
        <v>5</v>
      </c>
      <c r="G267">
        <v>17.29</v>
      </c>
      <c r="H267" t="s">
        <v>851</v>
      </c>
      <c r="I267">
        <v>4.5</v>
      </c>
      <c r="J267" s="10">
        <v>46208</v>
      </c>
      <c r="K267" s="27">
        <v>46208.46429398148</v>
      </c>
    </row>
    <row r="268" spans="1:11" x14ac:dyDescent="0.25">
      <c r="A268">
        <v>267</v>
      </c>
      <c r="B268" t="s">
        <v>858</v>
      </c>
      <c r="C268" t="s">
        <v>133</v>
      </c>
      <c r="D268" t="s">
        <v>73</v>
      </c>
      <c r="E268">
        <v>260</v>
      </c>
      <c r="F268">
        <v>3.5</v>
      </c>
      <c r="G268">
        <v>13.26</v>
      </c>
      <c r="H268" t="s">
        <v>851</v>
      </c>
      <c r="I268">
        <v>4.2</v>
      </c>
      <c r="J268" s="10">
        <v>46208</v>
      </c>
      <c r="K268" s="27">
        <v>46208.464548611111</v>
      </c>
    </row>
    <row r="269" spans="1:11" x14ac:dyDescent="0.25">
      <c r="A269">
        <v>268</v>
      </c>
      <c r="B269" t="s">
        <v>859</v>
      </c>
      <c r="C269" t="s">
        <v>42</v>
      </c>
      <c r="D269" t="s">
        <v>20</v>
      </c>
      <c r="E269">
        <v>195</v>
      </c>
      <c r="F269">
        <v>7</v>
      </c>
      <c r="G269">
        <v>22.92</v>
      </c>
      <c r="H269" t="s">
        <v>851</v>
      </c>
      <c r="I269">
        <v>3.1</v>
      </c>
      <c r="J269" s="10">
        <v>46208</v>
      </c>
      <c r="K269" s="27">
        <v>46208.464641203704</v>
      </c>
    </row>
    <row r="270" spans="1:11" x14ac:dyDescent="0.25">
      <c r="A270">
        <v>269</v>
      </c>
      <c r="B270" t="s">
        <v>860</v>
      </c>
      <c r="C270" t="s">
        <v>36</v>
      </c>
      <c r="D270" t="s">
        <v>29</v>
      </c>
      <c r="E270">
        <v>468</v>
      </c>
      <c r="F270">
        <v>6.5</v>
      </c>
      <c r="G270">
        <v>20.03</v>
      </c>
      <c r="H270" t="s">
        <v>851</v>
      </c>
      <c r="I270">
        <v>3.7</v>
      </c>
      <c r="J270" s="10">
        <v>46208</v>
      </c>
      <c r="K270" s="27">
        <v>46208.464814814812</v>
      </c>
    </row>
    <row r="271" spans="1:11" x14ac:dyDescent="0.25">
      <c r="A271">
        <v>270</v>
      </c>
      <c r="B271" t="s">
        <v>861</v>
      </c>
      <c r="C271" t="s">
        <v>46</v>
      </c>
      <c r="D271" t="s">
        <v>15</v>
      </c>
      <c r="E271">
        <v>443</v>
      </c>
      <c r="F271">
        <v>5.3</v>
      </c>
      <c r="G271">
        <v>16.5</v>
      </c>
      <c r="H271" t="s">
        <v>851</v>
      </c>
      <c r="I271">
        <v>3.1</v>
      </c>
      <c r="J271" s="10">
        <v>46208</v>
      </c>
      <c r="K271" s="27">
        <v>46208.465011574073</v>
      </c>
    </row>
    <row r="272" spans="1:11" x14ac:dyDescent="0.25">
      <c r="A272">
        <v>271</v>
      </c>
      <c r="B272" t="s">
        <v>862</v>
      </c>
      <c r="C272" t="s">
        <v>76</v>
      </c>
      <c r="D272" t="s">
        <v>11</v>
      </c>
      <c r="E272">
        <v>297</v>
      </c>
      <c r="F272">
        <v>6.6</v>
      </c>
      <c r="G272">
        <v>9.39</v>
      </c>
      <c r="H272" t="s">
        <v>851</v>
      </c>
      <c r="I272">
        <v>3.1</v>
      </c>
      <c r="J272" s="10">
        <v>46208</v>
      </c>
      <c r="K272" s="27">
        <v>46208.465162037035</v>
      </c>
    </row>
    <row r="273" spans="1:11" x14ac:dyDescent="0.25">
      <c r="A273">
        <v>272</v>
      </c>
      <c r="B273" t="s">
        <v>863</v>
      </c>
      <c r="C273" t="s">
        <v>65</v>
      </c>
      <c r="D273" t="s">
        <v>33</v>
      </c>
      <c r="E273">
        <v>279</v>
      </c>
      <c r="F273">
        <v>4.7</v>
      </c>
      <c r="G273">
        <v>13.72</v>
      </c>
      <c r="H273" t="s">
        <v>851</v>
      </c>
      <c r="I273">
        <v>4.9000000000000004</v>
      </c>
      <c r="J273" s="10">
        <v>46208</v>
      </c>
      <c r="K273" s="27">
        <v>46208.465439814812</v>
      </c>
    </row>
    <row r="274" spans="1:11" x14ac:dyDescent="0.25">
      <c r="A274">
        <v>273</v>
      </c>
      <c r="B274" t="s">
        <v>864</v>
      </c>
      <c r="C274" t="s">
        <v>68</v>
      </c>
      <c r="D274" t="s">
        <v>33</v>
      </c>
      <c r="E274">
        <v>481</v>
      </c>
      <c r="F274">
        <v>6.9</v>
      </c>
      <c r="G274">
        <v>21.71</v>
      </c>
      <c r="H274" t="s">
        <v>851</v>
      </c>
      <c r="I274">
        <v>3.9</v>
      </c>
      <c r="J274" s="10">
        <v>46208</v>
      </c>
      <c r="K274" s="27">
        <v>46208.465694444443</v>
      </c>
    </row>
    <row r="275" spans="1:11" x14ac:dyDescent="0.25">
      <c r="A275">
        <v>274</v>
      </c>
      <c r="B275" t="s">
        <v>865</v>
      </c>
      <c r="C275" t="s">
        <v>12</v>
      </c>
      <c r="D275" t="s">
        <v>45</v>
      </c>
      <c r="E275">
        <v>413</v>
      </c>
      <c r="F275">
        <v>7</v>
      </c>
      <c r="G275">
        <v>21.03</v>
      </c>
      <c r="H275" t="s">
        <v>853</v>
      </c>
      <c r="I275">
        <v>4.0999999999999996</v>
      </c>
      <c r="J275" s="10">
        <v>46208</v>
      </c>
      <c r="K275" s="27">
        <v>46208.46597222222</v>
      </c>
    </row>
    <row r="276" spans="1:11" x14ac:dyDescent="0.25">
      <c r="A276">
        <v>275</v>
      </c>
      <c r="B276" t="s">
        <v>866</v>
      </c>
      <c r="C276" t="s">
        <v>51</v>
      </c>
      <c r="D276" t="s">
        <v>11</v>
      </c>
      <c r="E276">
        <v>213</v>
      </c>
      <c r="F276">
        <v>2.7</v>
      </c>
      <c r="G276">
        <v>17.309999999999999</v>
      </c>
      <c r="H276" t="s">
        <v>851</v>
      </c>
      <c r="I276">
        <v>3.5</v>
      </c>
      <c r="J276" s="10">
        <v>46208</v>
      </c>
      <c r="K276" s="27">
        <v>46208.466226851851</v>
      </c>
    </row>
    <row r="277" spans="1:11" x14ac:dyDescent="0.25">
      <c r="A277">
        <v>276</v>
      </c>
      <c r="B277" t="s">
        <v>867</v>
      </c>
      <c r="C277" t="s">
        <v>80</v>
      </c>
      <c r="D277" t="s">
        <v>11</v>
      </c>
      <c r="E277">
        <v>338</v>
      </c>
      <c r="F277">
        <v>6</v>
      </c>
      <c r="G277">
        <v>21.51</v>
      </c>
      <c r="H277" t="s">
        <v>851</v>
      </c>
      <c r="I277">
        <v>4.4000000000000004</v>
      </c>
      <c r="J277" s="10">
        <v>46208</v>
      </c>
      <c r="K277" s="27">
        <v>46208.466307870367</v>
      </c>
    </row>
    <row r="278" spans="1:11" x14ac:dyDescent="0.25">
      <c r="A278">
        <v>277</v>
      </c>
      <c r="B278" t="s">
        <v>868</v>
      </c>
      <c r="C278" t="s">
        <v>869</v>
      </c>
      <c r="D278" t="s">
        <v>11</v>
      </c>
      <c r="E278">
        <v>325</v>
      </c>
      <c r="F278">
        <v>5.8</v>
      </c>
      <c r="G278">
        <v>20.59</v>
      </c>
      <c r="H278" t="s">
        <v>851</v>
      </c>
      <c r="I278">
        <v>4.3</v>
      </c>
      <c r="J278" s="10">
        <v>46208</v>
      </c>
      <c r="K278" s="27">
        <v>46208.466458333336</v>
      </c>
    </row>
    <row r="279" spans="1:11" x14ac:dyDescent="0.25">
      <c r="A279">
        <v>278</v>
      </c>
      <c r="B279" t="s">
        <v>870</v>
      </c>
      <c r="C279" t="s">
        <v>68</v>
      </c>
      <c r="D279" t="s">
        <v>33</v>
      </c>
      <c r="E279">
        <v>401</v>
      </c>
      <c r="F279">
        <v>5.2</v>
      </c>
      <c r="G279">
        <v>8.44</v>
      </c>
      <c r="H279" t="s">
        <v>853</v>
      </c>
      <c r="I279">
        <v>5</v>
      </c>
      <c r="J279" s="10">
        <v>46208</v>
      </c>
      <c r="K279" s="27">
        <v>46208.466643518521</v>
      </c>
    </row>
    <row r="280" spans="1:11" x14ac:dyDescent="0.25">
      <c r="A280">
        <v>279</v>
      </c>
      <c r="B280" t="s">
        <v>871</v>
      </c>
      <c r="C280" t="s">
        <v>133</v>
      </c>
      <c r="D280" t="s">
        <v>73</v>
      </c>
      <c r="E280">
        <v>125</v>
      </c>
      <c r="F280">
        <v>2.2000000000000002</v>
      </c>
      <c r="G280">
        <v>22.72</v>
      </c>
      <c r="H280" t="s">
        <v>851</v>
      </c>
      <c r="I280">
        <v>4.3</v>
      </c>
      <c r="J280" s="10">
        <v>46208</v>
      </c>
      <c r="K280" s="27">
        <v>46208.466909722221</v>
      </c>
    </row>
    <row r="281" spans="1:11" x14ac:dyDescent="0.25">
      <c r="A281">
        <v>280</v>
      </c>
      <c r="B281" t="s">
        <v>872</v>
      </c>
      <c r="C281" t="s">
        <v>68</v>
      </c>
      <c r="D281" t="s">
        <v>33</v>
      </c>
      <c r="E281">
        <v>396</v>
      </c>
      <c r="F281">
        <v>2.8</v>
      </c>
      <c r="G281">
        <v>20.09</v>
      </c>
      <c r="H281" t="s">
        <v>851</v>
      </c>
      <c r="I281">
        <v>3.1</v>
      </c>
      <c r="J281" s="10">
        <v>46208</v>
      </c>
      <c r="K281" s="27">
        <v>46208.466979166667</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A2B2-3B78-435A-9F8E-6F9E00EB0ED7}">
  <dimension ref="A2:S46"/>
  <sheetViews>
    <sheetView zoomScale="80" zoomScaleNormal="80" workbookViewId="0">
      <selection activeCell="G9" sqref="G9"/>
    </sheetView>
  </sheetViews>
  <sheetFormatPr defaultRowHeight="15" x14ac:dyDescent="0.25"/>
  <cols>
    <col min="1" max="1" width="19.140625" bestFit="1" customWidth="1"/>
    <col min="2" max="2" width="25" style="34" bestFit="1" customWidth="1"/>
    <col min="3" max="3" width="16.7109375" bestFit="1" customWidth="1"/>
    <col min="4" max="4" width="14.140625" bestFit="1" customWidth="1"/>
    <col min="5" max="5" width="10.7109375" bestFit="1" customWidth="1"/>
    <col min="6" max="7" width="8.140625" customWidth="1"/>
    <col min="8" max="8" width="11.28515625" customWidth="1"/>
    <col min="9" max="9" width="10.7109375" bestFit="1" customWidth="1"/>
    <col min="10" max="10" width="5" bestFit="1" customWidth="1"/>
    <col min="11" max="11" width="5.28515625" customWidth="1"/>
    <col min="12" max="12" width="11.5703125" bestFit="1" customWidth="1"/>
    <col min="13" max="13" width="19.140625" bestFit="1" customWidth="1"/>
    <col min="14" max="14" width="16.7109375" bestFit="1" customWidth="1"/>
    <col min="15" max="15" width="14.28515625" bestFit="1" customWidth="1"/>
    <col min="16" max="16" width="19.140625" bestFit="1" customWidth="1"/>
    <col min="17" max="17" width="13.140625" bestFit="1" customWidth="1"/>
  </cols>
  <sheetData>
    <row r="2" spans="1:14" x14ac:dyDescent="0.25">
      <c r="M2" s="2" t="s">
        <v>336</v>
      </c>
      <c r="N2" t="s">
        <v>874</v>
      </c>
    </row>
    <row r="3" spans="1:14" x14ac:dyDescent="0.25">
      <c r="A3" s="2" t="s">
        <v>336</v>
      </c>
      <c r="B3" s="33" t="s">
        <v>874</v>
      </c>
      <c r="D3" s="23" t="s">
        <v>915</v>
      </c>
      <c r="M3" s="3" t="s">
        <v>855</v>
      </c>
      <c r="N3" s="33">
        <v>3941</v>
      </c>
    </row>
    <row r="4" spans="1:14" x14ac:dyDescent="0.25">
      <c r="A4" s="3" t="s">
        <v>855</v>
      </c>
      <c r="B4" s="33">
        <v>3941</v>
      </c>
      <c r="D4" s="31">
        <f>GETPIVOTDATA("Sum of shipments_count",$A$3)</f>
        <v>83267</v>
      </c>
      <c r="M4" s="3" t="s">
        <v>858</v>
      </c>
      <c r="N4" s="33">
        <v>4345</v>
      </c>
    </row>
    <row r="5" spans="1:14" x14ac:dyDescent="0.25">
      <c r="A5" s="3" t="s">
        <v>858</v>
      </c>
      <c r="B5" s="33">
        <v>4345</v>
      </c>
      <c r="M5" s="3" t="s">
        <v>870</v>
      </c>
      <c r="N5" s="33">
        <v>4226</v>
      </c>
    </row>
    <row r="6" spans="1:14" x14ac:dyDescent="0.25">
      <c r="A6" s="3" t="s">
        <v>870</v>
      </c>
      <c r="B6" s="33">
        <v>4226</v>
      </c>
      <c r="M6" s="3" t="s">
        <v>861</v>
      </c>
      <c r="N6" s="33">
        <v>4435</v>
      </c>
    </row>
    <row r="7" spans="1:14" x14ac:dyDescent="0.25">
      <c r="A7" s="3" t="s">
        <v>861</v>
      </c>
      <c r="B7" s="33">
        <v>4435</v>
      </c>
      <c r="M7" s="3" t="s">
        <v>863</v>
      </c>
      <c r="N7" s="33">
        <v>4368</v>
      </c>
    </row>
    <row r="8" spans="1:14" x14ac:dyDescent="0.25">
      <c r="A8" s="3" t="s">
        <v>863</v>
      </c>
      <c r="B8" s="33">
        <v>4368</v>
      </c>
      <c r="M8" s="3" t="s">
        <v>867</v>
      </c>
      <c r="N8" s="33">
        <v>4156</v>
      </c>
    </row>
    <row r="9" spans="1:14" x14ac:dyDescent="0.25">
      <c r="A9" s="3" t="s">
        <v>867</v>
      </c>
      <c r="B9" s="33">
        <v>4156</v>
      </c>
      <c r="M9" s="3" t="s">
        <v>859</v>
      </c>
      <c r="N9" s="33">
        <v>3937</v>
      </c>
    </row>
    <row r="10" spans="1:14" x14ac:dyDescent="0.25">
      <c r="A10" s="3" t="s">
        <v>859</v>
      </c>
      <c r="B10" s="33">
        <v>3937</v>
      </c>
      <c r="M10" s="3" t="s">
        <v>850</v>
      </c>
      <c r="N10" s="33">
        <v>4030</v>
      </c>
    </row>
    <row r="11" spans="1:14" x14ac:dyDescent="0.25">
      <c r="A11" s="3" t="s">
        <v>850</v>
      </c>
      <c r="B11" s="33">
        <v>4030</v>
      </c>
      <c r="M11" s="3" t="s">
        <v>868</v>
      </c>
      <c r="N11" s="33">
        <v>3973</v>
      </c>
    </row>
    <row r="12" spans="1:14" x14ac:dyDescent="0.25">
      <c r="A12" s="3" t="s">
        <v>868</v>
      </c>
      <c r="B12" s="33">
        <v>3973</v>
      </c>
      <c r="M12" s="3" t="s">
        <v>852</v>
      </c>
      <c r="N12" s="33">
        <v>3183</v>
      </c>
    </row>
    <row r="13" spans="1:14" x14ac:dyDescent="0.25">
      <c r="A13" s="3" t="s">
        <v>852</v>
      </c>
      <c r="B13" s="33">
        <v>3183</v>
      </c>
      <c r="D13" s="2" t="s">
        <v>336</v>
      </c>
      <c r="E13" t="s">
        <v>789</v>
      </c>
      <c r="M13" s="3" t="s">
        <v>864</v>
      </c>
      <c r="N13" s="33">
        <v>5011</v>
      </c>
    </row>
    <row r="14" spans="1:14" x14ac:dyDescent="0.25">
      <c r="A14" s="3" t="s">
        <v>864</v>
      </c>
      <c r="B14" s="33">
        <v>5011</v>
      </c>
      <c r="D14" s="3" t="s">
        <v>851</v>
      </c>
      <c r="E14">
        <v>258</v>
      </c>
      <c r="M14" s="3" t="s">
        <v>857</v>
      </c>
      <c r="N14" s="33">
        <v>3756</v>
      </c>
    </row>
    <row r="15" spans="1:14" x14ac:dyDescent="0.25">
      <c r="A15" s="3" t="s">
        <v>857</v>
      </c>
      <c r="B15" s="33">
        <v>3756</v>
      </c>
      <c r="D15" s="3" t="s">
        <v>853</v>
      </c>
      <c r="E15">
        <v>22</v>
      </c>
      <c r="M15" s="3" t="s">
        <v>866</v>
      </c>
      <c r="N15" s="33">
        <v>4066</v>
      </c>
    </row>
    <row r="16" spans="1:14" x14ac:dyDescent="0.25">
      <c r="A16" s="3" t="s">
        <v>866</v>
      </c>
      <c r="B16" s="33">
        <v>4066</v>
      </c>
      <c r="D16" s="3" t="s">
        <v>337</v>
      </c>
      <c r="E16">
        <v>280</v>
      </c>
      <c r="M16" s="3" t="s">
        <v>862</v>
      </c>
      <c r="N16" s="33">
        <v>3620</v>
      </c>
    </row>
    <row r="17" spans="1:19" x14ac:dyDescent="0.25">
      <c r="A17" s="3" t="s">
        <v>862</v>
      </c>
      <c r="B17" s="33">
        <v>3620</v>
      </c>
      <c r="M17" s="3" t="s">
        <v>871</v>
      </c>
      <c r="N17" s="33">
        <v>3864</v>
      </c>
    </row>
    <row r="18" spans="1:19" x14ac:dyDescent="0.25">
      <c r="A18" s="3" t="s">
        <v>871</v>
      </c>
      <c r="B18" s="33">
        <v>3864</v>
      </c>
      <c r="M18" s="3" t="s">
        <v>872</v>
      </c>
      <c r="N18" s="33">
        <v>3978</v>
      </c>
    </row>
    <row r="19" spans="1:19" x14ac:dyDescent="0.25">
      <c r="A19" s="3" t="s">
        <v>872</v>
      </c>
      <c r="B19" s="33">
        <v>3978</v>
      </c>
      <c r="M19" s="3" t="s">
        <v>860</v>
      </c>
      <c r="N19" s="33">
        <v>4029</v>
      </c>
    </row>
    <row r="20" spans="1:19" x14ac:dyDescent="0.25">
      <c r="A20" s="3" t="s">
        <v>860</v>
      </c>
      <c r="B20" s="33">
        <v>4029</v>
      </c>
      <c r="M20" s="3" t="s">
        <v>856</v>
      </c>
      <c r="N20" s="33">
        <v>4312</v>
      </c>
    </row>
    <row r="21" spans="1:19" x14ac:dyDescent="0.25">
      <c r="A21" s="3" t="s">
        <v>856</v>
      </c>
      <c r="B21" s="33">
        <v>4312</v>
      </c>
      <c r="M21" s="3" t="s">
        <v>865</v>
      </c>
      <c r="N21" s="33">
        <v>5082</v>
      </c>
    </row>
    <row r="22" spans="1:19" x14ac:dyDescent="0.25">
      <c r="A22" s="3" t="s">
        <v>865</v>
      </c>
      <c r="B22" s="33">
        <v>5082</v>
      </c>
      <c r="M22" s="3" t="s">
        <v>854</v>
      </c>
      <c r="N22" s="33">
        <v>4955</v>
      </c>
    </row>
    <row r="23" spans="1:19" x14ac:dyDescent="0.25">
      <c r="A23" s="3" t="s">
        <v>854</v>
      </c>
      <c r="B23" s="33">
        <v>4955</v>
      </c>
      <c r="M23" s="3" t="s">
        <v>337</v>
      </c>
      <c r="N23" s="32">
        <v>83267</v>
      </c>
    </row>
    <row r="24" spans="1:19" x14ac:dyDescent="0.25">
      <c r="A24" s="3" t="s">
        <v>337</v>
      </c>
      <c r="B24" s="33">
        <v>83267</v>
      </c>
    </row>
    <row r="25" spans="1:19" x14ac:dyDescent="0.25">
      <c r="M25" s="2" t="s">
        <v>336</v>
      </c>
      <c r="N25" t="s">
        <v>873</v>
      </c>
    </row>
    <row r="26" spans="1:19" x14ac:dyDescent="0.25">
      <c r="M26" s="3" t="s">
        <v>855</v>
      </c>
      <c r="N26" s="28">
        <v>3.9714285714285711</v>
      </c>
      <c r="P26" s="3"/>
      <c r="Q26" s="28"/>
      <c r="S26" s="28"/>
    </row>
    <row r="27" spans="1:19" x14ac:dyDescent="0.25">
      <c r="M27" s="3" t="s">
        <v>858</v>
      </c>
      <c r="N27" s="28">
        <v>3.9642857142857144</v>
      </c>
      <c r="P27" s="3" t="s">
        <v>1024</v>
      </c>
      <c r="Q27" s="28" t="s">
        <v>1025</v>
      </c>
    </row>
    <row r="28" spans="1:19" x14ac:dyDescent="0.25">
      <c r="M28" s="3" t="s">
        <v>870</v>
      </c>
      <c r="N28" s="28">
        <v>4.0071428571428571</v>
      </c>
      <c r="P28" s="30">
        <f>MAX(N26:N45)</f>
        <v>4.2857142857142856</v>
      </c>
      <c r="Q28" s="28" t="str">
        <f>INDEX(M26:M45,MATCH(MAX(N26:N45), N26:N45,0))</f>
        <v>Fastway</v>
      </c>
    </row>
    <row r="29" spans="1:19" x14ac:dyDescent="0.25">
      <c r="M29" s="3" t="s">
        <v>861</v>
      </c>
      <c r="N29" s="28">
        <v>4.0642857142857149</v>
      </c>
      <c r="P29" s="3"/>
      <c r="Q29" s="28"/>
      <c r="S29" s="28"/>
    </row>
    <row r="30" spans="1:19" x14ac:dyDescent="0.25">
      <c r="M30" s="3" t="s">
        <v>863</v>
      </c>
      <c r="N30" s="28">
        <v>4.1285714285714281</v>
      </c>
      <c r="P30" s="3"/>
      <c r="Q30" s="28"/>
    </row>
    <row r="31" spans="1:19" x14ac:dyDescent="0.25">
      <c r="M31" s="3" t="s">
        <v>867</v>
      </c>
      <c r="N31" s="28">
        <v>4</v>
      </c>
      <c r="P31" s="3"/>
      <c r="Q31" s="28"/>
    </row>
    <row r="32" spans="1:19" x14ac:dyDescent="0.25">
      <c r="M32" s="3" t="s">
        <v>859</v>
      </c>
      <c r="N32" s="28">
        <v>3.842857142857143</v>
      </c>
      <c r="P32" s="3"/>
      <c r="Q32" s="28"/>
    </row>
    <row r="33" spans="13:17" x14ac:dyDescent="0.25">
      <c r="M33" s="3" t="s">
        <v>850</v>
      </c>
      <c r="N33" s="28">
        <v>3.8928571428571423</v>
      </c>
      <c r="P33" s="3"/>
      <c r="Q33" s="28"/>
    </row>
    <row r="34" spans="13:17" x14ac:dyDescent="0.25">
      <c r="M34" s="3" t="s">
        <v>868</v>
      </c>
      <c r="N34" s="28">
        <v>4.2857142857142856</v>
      </c>
      <c r="P34" s="3"/>
      <c r="Q34" s="28"/>
    </row>
    <row r="35" spans="13:17" x14ac:dyDescent="0.25">
      <c r="M35" s="3" t="s">
        <v>852</v>
      </c>
      <c r="N35" s="28">
        <v>4</v>
      </c>
      <c r="P35" s="3"/>
      <c r="Q35" s="28"/>
    </row>
    <row r="36" spans="13:17" x14ac:dyDescent="0.25">
      <c r="M36" s="3" t="s">
        <v>864</v>
      </c>
      <c r="N36" s="28">
        <v>3.9785714285714282</v>
      </c>
      <c r="P36" s="3"/>
      <c r="Q36" s="28"/>
    </row>
    <row r="37" spans="13:17" x14ac:dyDescent="0.25">
      <c r="M37" s="3" t="s">
        <v>857</v>
      </c>
      <c r="N37" s="28">
        <v>4.2214285714285715</v>
      </c>
      <c r="P37" s="3"/>
      <c r="Q37" s="28"/>
    </row>
    <row r="38" spans="13:17" x14ac:dyDescent="0.25">
      <c r="M38" s="3" t="s">
        <v>866</v>
      </c>
      <c r="N38" s="28">
        <v>3.9785714285714282</v>
      </c>
      <c r="P38" s="3"/>
      <c r="Q38" s="28"/>
    </row>
    <row r="39" spans="13:17" x14ac:dyDescent="0.25">
      <c r="M39" s="3" t="s">
        <v>862</v>
      </c>
      <c r="N39" s="28">
        <v>3.5428571428571431</v>
      </c>
      <c r="P39" s="3"/>
      <c r="Q39" s="28"/>
    </row>
    <row r="40" spans="13:17" x14ac:dyDescent="0.25">
      <c r="M40" s="3" t="s">
        <v>871</v>
      </c>
      <c r="N40" s="28">
        <v>4.0285714285714285</v>
      </c>
      <c r="P40" s="3"/>
      <c r="Q40" s="28"/>
    </row>
    <row r="41" spans="13:17" x14ac:dyDescent="0.25">
      <c r="M41" s="3" t="s">
        <v>872</v>
      </c>
      <c r="N41" s="28">
        <v>3.9071428571428579</v>
      </c>
      <c r="P41" s="3"/>
      <c r="Q41" s="28"/>
    </row>
    <row r="42" spans="13:17" x14ac:dyDescent="0.25">
      <c r="M42" s="3" t="s">
        <v>860</v>
      </c>
      <c r="N42" s="28">
        <v>4.0642857142857141</v>
      </c>
      <c r="P42" s="3"/>
      <c r="Q42" s="28"/>
    </row>
    <row r="43" spans="13:17" x14ac:dyDescent="0.25">
      <c r="M43" s="3" t="s">
        <v>856</v>
      </c>
      <c r="N43" s="28">
        <v>3.9071428571428579</v>
      </c>
      <c r="P43" s="3"/>
      <c r="Q43" s="28"/>
    </row>
    <row r="44" spans="13:17" x14ac:dyDescent="0.25">
      <c r="M44" s="3" t="s">
        <v>865</v>
      </c>
      <c r="N44" s="28">
        <v>4.0071428571428571</v>
      </c>
      <c r="P44" s="3"/>
      <c r="Q44" s="28"/>
    </row>
    <row r="45" spans="13:17" x14ac:dyDescent="0.25">
      <c r="M45" s="3" t="s">
        <v>854</v>
      </c>
      <c r="N45" s="28">
        <v>3.8642857142857143</v>
      </c>
      <c r="P45" s="3"/>
      <c r="Q45" s="28"/>
    </row>
    <row r="46" spans="13:17" x14ac:dyDescent="0.25">
      <c r="M46" s="3" t="s">
        <v>337</v>
      </c>
      <c r="N46" s="28">
        <v>3.98285714285714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3BF59-FB80-44BA-9FC2-74E08F530C13}">
  <sheetPr codeName="Sheet3">
    <tabColor rgb="FFC00000"/>
  </sheetPr>
  <dimension ref="A1"/>
  <sheetViews>
    <sheetView showGridLines="0" showRowColHeaders="0" tabSelected="1" zoomScale="80" zoomScaleNormal="80" workbookViewId="0"/>
  </sheetViews>
  <sheetFormatPr defaultRowHeight="15" x14ac:dyDescent="0.25"/>
  <cols>
    <col min="1" max="16384" width="9.140625" style="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987A-A2AF-42AA-8388-A223E199D7AE}">
  <sheetPr codeName="Sheet4">
    <tabColor rgb="FFFF0000"/>
  </sheetPr>
  <dimension ref="A1"/>
  <sheetViews>
    <sheetView showGridLines="0" showRowColHeaders="0" zoomScale="80" zoomScaleNormal="80" workbookViewId="0">
      <selection activeCell="S10" sqref="S10"/>
    </sheetView>
  </sheetViews>
  <sheetFormatPr defaultRowHeight="15" x14ac:dyDescent="0.25"/>
  <cols>
    <col min="1" max="16384" width="9.140625" style="1"/>
  </cols>
  <sheetData>
    <row r="1" spans="1:1" x14ac:dyDescent="0.25">
      <c r="A1" s="1" t="s">
        <v>449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B2B9-2546-445F-8753-D92CC265B856}">
  <sheetPr codeName="Sheet5">
    <tabColor rgb="FFFF0000"/>
  </sheetPr>
  <dimension ref="A1"/>
  <sheetViews>
    <sheetView showGridLines="0" showRowColHeaders="0" zoomScale="80" zoomScaleNormal="80" workbookViewId="0"/>
  </sheetViews>
  <sheetFormatPr defaultRowHeight="15" x14ac:dyDescent="0.25"/>
  <cols>
    <col min="1" max="16384" width="9.140625" style="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6EF3-0ED7-4E1F-AE6E-C9A980EFD18A}">
  <sheetPr codeName="Sheet6">
    <tabColor rgb="FFFF0000"/>
  </sheetPr>
  <dimension ref="A1"/>
  <sheetViews>
    <sheetView showGridLines="0" showRowColHeaders="0" zoomScale="80" zoomScaleNormal="80" workbookViewId="0"/>
  </sheetViews>
  <sheetFormatPr defaultRowHeight="15" x14ac:dyDescent="0.25"/>
  <cols>
    <col min="1" max="16384" width="9.140625" style="1"/>
  </cols>
  <sheetData>
    <row r="1" spans="1:1" x14ac:dyDescent="0.25">
      <c r="A1" s="1" t="s">
        <v>450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EE8CAB-8FBE-4B1D-8602-8DD485156A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customers_data</vt:lpstr>
      <vt:lpstr>pivots_customers</vt:lpstr>
      <vt:lpstr>partners_data</vt:lpstr>
      <vt:lpstr>pivots_partners</vt:lpstr>
      <vt:lpstr>Menu</vt:lpstr>
      <vt:lpstr>Partners</vt:lpstr>
      <vt:lpstr>Products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seferov xeyyam</dc:creator>
  <cp:lastModifiedBy>seferov xeyyam</cp:lastModifiedBy>
  <dcterms:created xsi:type="dcterms:W3CDTF">2026-03-13T10:21:51Z</dcterms:created>
  <dcterms:modified xsi:type="dcterms:W3CDTF">2026-07-05T08:25:08Z</dcterms:modified>
</cp:coreProperties>
</file>